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MIGUEL\Documents\jk_app\"/>
    </mc:Choice>
  </mc:AlternateContent>
  <xr:revisionPtr revIDLastSave="0" documentId="13_ncr:1_{EFA9FD0C-1B85-4DEA-A9E7-A9BFB87D6DED}" xr6:coauthVersionLast="47" xr6:coauthVersionMax="47" xr10:uidLastSave="{00000000-0000-0000-0000-000000000000}"/>
  <bookViews>
    <workbookView xWindow="-110" yWindow="-110" windowWidth="19420" windowHeight="10300" xr2:uid="{00000000-000D-0000-FFFF-FFFF00000000}"/>
  </bookViews>
  <sheets>
    <sheet name="inventario tot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8" i="1" l="1"/>
  <c r="L237" i="1"/>
  <c r="L114" i="1"/>
  <c r="L46" i="1"/>
  <c r="L126" i="1"/>
  <c r="L127" i="1"/>
  <c r="L128" i="1"/>
  <c r="L129" i="1"/>
  <c r="L261" i="1" l="1"/>
  <c r="L188" i="1"/>
  <c r="L81" i="1" l="1"/>
  <c r="L97" i="1"/>
  <c r="L168" i="1" l="1"/>
  <c r="L302" i="1" l="1"/>
  <c r="L293" i="1" l="1"/>
  <c r="L294" i="1"/>
  <c r="L295" i="1"/>
  <c r="L296" i="1"/>
  <c r="L297" i="1"/>
  <c r="L298" i="1"/>
  <c r="L299" i="1"/>
  <c r="L300" i="1"/>
  <c r="L301" i="1"/>
  <c r="L258" i="1" l="1"/>
  <c r="L259" i="1"/>
  <c r="L260" i="1"/>
  <c r="L262" i="1"/>
  <c r="L263" i="1"/>
  <c r="L264" i="1"/>
  <c r="L292" i="1" l="1"/>
  <c r="L291" i="1" l="1"/>
  <c r="L265" i="1" l="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48" i="1"/>
  <c r="L249" i="1"/>
  <c r="L250" i="1"/>
  <c r="L251" i="1"/>
  <c r="L252" i="1"/>
  <c r="L253" i="1"/>
  <c r="L254" i="1"/>
  <c r="L255" i="1"/>
  <c r="L256" i="1"/>
  <c r="L244" i="1"/>
  <c r="L245" i="1"/>
  <c r="L246" i="1"/>
  <c r="L247" i="1"/>
  <c r="L231" i="1"/>
  <c r="L232" i="1"/>
  <c r="L233" i="1"/>
  <c r="L234" i="1"/>
  <c r="L235" i="1"/>
  <c r="L236" i="1"/>
  <c r="L214" i="1" l="1"/>
  <c r="L116" i="1"/>
  <c r="L230" i="1" l="1"/>
  <c r="L216" i="1" l="1"/>
  <c r="L217" i="1"/>
  <c r="L218" i="1"/>
  <c r="L219" i="1"/>
  <c r="L220" i="1"/>
  <c r="L221" i="1"/>
  <c r="L222" i="1"/>
  <c r="L223" i="1"/>
  <c r="L224" i="1"/>
  <c r="L225" i="1"/>
  <c r="L226" i="1"/>
  <c r="L227" i="1"/>
  <c r="L228" i="1"/>
  <c r="L229" i="1"/>
  <c r="L212" i="1" l="1"/>
  <c r="L213" i="1"/>
  <c r="L22" i="1" l="1"/>
  <c r="L23" i="1"/>
  <c r="L24" i="1"/>
  <c r="L25" i="1"/>
  <c r="L26" i="1"/>
  <c r="L27" i="1"/>
  <c r="L28" i="1"/>
  <c r="L29" i="1"/>
  <c r="L30" i="1"/>
  <c r="L31" i="1"/>
  <c r="L32" i="1"/>
  <c r="L33" i="1"/>
  <c r="L34" i="1"/>
  <c r="L35" i="1"/>
  <c r="L36" i="1"/>
  <c r="L37" i="1"/>
  <c r="L38" i="1"/>
  <c r="L39" i="1"/>
  <c r="L40" i="1"/>
  <c r="L41" i="1"/>
  <c r="L42" i="1"/>
  <c r="L43" i="1"/>
  <c r="L44" i="1"/>
  <c r="L45"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2" i="1"/>
  <c r="L83" i="1"/>
  <c r="L84" i="1"/>
  <c r="L85" i="1"/>
  <c r="L86" i="1"/>
  <c r="L87" i="1"/>
  <c r="L88" i="1"/>
  <c r="L89" i="1"/>
  <c r="L90" i="1"/>
  <c r="L91" i="1"/>
  <c r="L92" i="1"/>
  <c r="L93" i="1"/>
  <c r="L94" i="1"/>
  <c r="L95" i="1"/>
  <c r="L96" i="1"/>
  <c r="L98" i="1"/>
  <c r="L99" i="1"/>
  <c r="L100" i="1"/>
  <c r="L102" i="1"/>
  <c r="L103" i="1"/>
  <c r="L104" i="1"/>
  <c r="L105" i="1"/>
  <c r="L106" i="1"/>
  <c r="L107" i="1"/>
  <c r="L108" i="1"/>
  <c r="L109" i="1"/>
  <c r="L110" i="1"/>
  <c r="L111" i="1"/>
  <c r="L112" i="1"/>
  <c r="L113" i="1"/>
  <c r="L115" i="1"/>
  <c r="L118" i="1"/>
  <c r="L119" i="1"/>
  <c r="L120" i="1"/>
  <c r="L121" i="1"/>
  <c r="L122" i="1"/>
  <c r="L123" i="1"/>
  <c r="L124" i="1"/>
  <c r="L125" i="1"/>
  <c r="L130" i="1"/>
  <c r="L131" i="1"/>
  <c r="L132" i="1"/>
  <c r="L133" i="1"/>
  <c r="L134"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70" i="1"/>
  <c r="L171" i="1"/>
  <c r="L172" i="1"/>
  <c r="L173" i="1"/>
  <c r="L174" i="1"/>
  <c r="L175" i="1"/>
  <c r="L176" i="1"/>
  <c r="L177" i="1"/>
  <c r="L178" i="1"/>
  <c r="L179" i="1"/>
  <c r="L180" i="1"/>
  <c r="L181" i="1"/>
  <c r="L182" i="1"/>
  <c r="L183" i="1"/>
  <c r="L184" i="1"/>
  <c r="L185" i="1"/>
  <c r="L186" i="1"/>
  <c r="L187" i="1"/>
  <c r="L189" i="1"/>
  <c r="L190" i="1"/>
  <c r="L191" i="1"/>
  <c r="L192" i="1"/>
  <c r="L193" i="1"/>
  <c r="L194" i="1"/>
  <c r="L195" i="1"/>
  <c r="L196" i="1"/>
  <c r="L197" i="1"/>
  <c r="L198" i="1"/>
  <c r="L199" i="1"/>
  <c r="L200" i="1"/>
  <c r="L201" i="1"/>
  <c r="L202" i="1"/>
  <c r="L203" i="1"/>
  <c r="L204" i="1"/>
  <c r="L205" i="1"/>
  <c r="L206" i="1"/>
  <c r="L207" i="1"/>
  <c r="L208" i="1"/>
  <c r="L209" i="1"/>
  <c r="L210" i="1"/>
  <c r="L211" i="1"/>
  <c r="L21" i="1"/>
  <c r="L117" i="1" l="1"/>
  <c r="A206" i="1"/>
  <c r="A118" i="1" l="1"/>
  <c r="A119" i="1" s="1"/>
  <c r="A120" i="1" s="1"/>
  <c r="A121" i="1" s="1"/>
  <c r="A122" i="1" s="1"/>
  <c r="A123" i="1" s="1"/>
  <c r="A124"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3AE3FE-274E-4C85-8521-B69BA47FD985}" keepAlive="1" name="Consulta - Tabla1" description="Conexión a la consulta 'Tabla1' en el libro." type="5" refreshedVersion="0" background="1">
    <dbPr connection="Provider=Microsoft.Mashup.OleDb.1;Data Source=$Workbook$;Location=Tabla1;Extended Properties=&quot;&quot;" command="SELECT * FROM [Tabla1]"/>
  </connection>
</connections>
</file>

<file path=xl/sharedStrings.xml><?xml version="1.0" encoding="utf-8"?>
<sst xmlns="http://schemas.openxmlformats.org/spreadsheetml/2006/main" count="1514" uniqueCount="771">
  <si>
    <t xml:space="preserve">Y MAIN </t>
  </si>
  <si>
    <t>PN50C6500TFXZA PN5OC8000FXZA PN50C7000YFXZA</t>
  </si>
  <si>
    <t>JK</t>
  </si>
  <si>
    <t>BN44-00333A  LJ44-00185A PSPF461501A</t>
  </si>
  <si>
    <t xml:space="preserve">FUENTE </t>
  </si>
  <si>
    <t>PN50C6400TFXZA PN50C6500TFXZA PN50C7000YFXZA PN50C8000YFXZA N002</t>
  </si>
  <si>
    <t>BUFER</t>
  </si>
  <si>
    <t>HPN5039X/XAA PN50C6500TFXZA PN50C7000YFXZA PN50C8000YFXZA</t>
  </si>
  <si>
    <t>BUFER X</t>
  </si>
  <si>
    <t>PN50C6500TFXZA PN50C7000YFXZA PN50C8000YFXZA</t>
  </si>
  <si>
    <t>INVERTER</t>
  </si>
  <si>
    <t>T.COM LOGTC</t>
  </si>
  <si>
    <t>LJ92-01703A LJ41-08383A</t>
  </si>
  <si>
    <t xml:space="preserve">BUFER E </t>
  </si>
  <si>
    <t xml:space="preserve">BUFER F </t>
  </si>
  <si>
    <t xml:space="preserve">X MAIN </t>
  </si>
  <si>
    <t>BN94-03808V</t>
  </si>
  <si>
    <t>UN55C9000SRXZL UN55C9000ZRXPE UN55C9000ZRXZL UN55C9000ZRXZS</t>
  </si>
  <si>
    <t xml:space="preserve">MAIN </t>
  </si>
  <si>
    <t>PL50C7000YRX</t>
  </si>
  <si>
    <t>UN32C4000PX</t>
  </si>
  <si>
    <t>LJ41-08459A LJ92-01729B</t>
  </si>
  <si>
    <t>BUFER Y</t>
  </si>
  <si>
    <t>PN50B450B1DXZA</t>
  </si>
  <si>
    <t>LJ41-09454A LJ92-01790A</t>
  </si>
  <si>
    <t xml:space="preserve">BUFER X </t>
  </si>
  <si>
    <t>LJ92-01849A LJ41-10136A BN96-22084A</t>
  </si>
  <si>
    <t>BN94-03654X</t>
  </si>
  <si>
    <t>MAIN</t>
  </si>
  <si>
    <t>BX1950N</t>
  </si>
  <si>
    <t>$20.000</t>
  </si>
  <si>
    <t>$60.000</t>
  </si>
  <si>
    <t>$80.000</t>
  </si>
  <si>
    <t>$40.000</t>
  </si>
  <si>
    <t>BN94-00443W  BN41-00256D</t>
  </si>
  <si>
    <t xml:space="preserve">LTP326WX/XAA LW32A23WX/XEU E401 LW32A23WX/XEU 0001 LTP326WX/XAC 0001 LTP326WX/XAC E401 LTP326WS/XAA 0001 LTN4091WX/XAA LTN406WX/XAA LTN406WS/XAA 0001 LTN325WX/XAC 0001 LTN325WX/XAC E401 LTN325WX/XAA LTN321WX/XAA LW32A23WX/XEE E401 LW32A23WX/XEE 0001
</t>
  </si>
  <si>
    <t>BN94-00864A BN96-12671A BN41-00679A</t>
  </si>
  <si>
    <t>BN41-01151B</t>
  </si>
  <si>
    <t>943SN</t>
  </si>
  <si>
    <t xml:space="preserve">SALIDA VGA </t>
  </si>
  <si>
    <t>BN44-00421A BN44-00421B</t>
  </si>
  <si>
    <t>UN32D4000NDXZA</t>
  </si>
  <si>
    <t>BN44-00325B</t>
  </si>
  <si>
    <t>BN94-04819A</t>
  </si>
  <si>
    <t>PL51D450A2X</t>
  </si>
  <si>
    <t>BN94-03579E</t>
  </si>
  <si>
    <t>UN40C7000WRXZL</t>
  </si>
  <si>
    <t>BN44-00471A</t>
  </si>
  <si>
    <t>UN26D4003BDXZA UN26D4003BHXZA</t>
  </si>
  <si>
    <t>UN32EH4003MXZL</t>
  </si>
  <si>
    <t>BN94-05848E</t>
  </si>
  <si>
    <t>IP-22155A</t>
  </si>
  <si>
    <t>BN44-00164B</t>
  </si>
  <si>
    <t>IP-19145A</t>
  </si>
  <si>
    <t>PS42Q7HDX/XEU PL42P7HPX/XAO</t>
  </si>
  <si>
    <t>$100.000</t>
  </si>
  <si>
    <t>FUENTE</t>
  </si>
  <si>
    <t xml:space="preserve">BN44-00293A </t>
  </si>
  <si>
    <t>T.COM</t>
  </si>
  <si>
    <t>BN94-03170K  BN94-03170A BN94-03170B</t>
  </si>
  <si>
    <t xml:space="preserve">LS19CFNKFY/ZA 933HDPLUSLS19CFNKFY/ZA ST01LS19CFNKFYB/ZA 933HDPLUSLS19CFNKFYB/ZA ST02LS19CFNKFYD/ZA 933HDPLUS
</t>
  </si>
  <si>
    <t>BN95-00866A BN41-01939B BN97-07005A</t>
  </si>
  <si>
    <t>BN44-00124S</t>
  </si>
  <si>
    <t xml:space="preserve">LS22CMZKFV/ZA 0001LS22CMZKFV/ZA 0002LS22CMZKFV/ZA AT01LS22MYZKFV/XAA 0001LS22MYZKFV/XAA CT01
</t>
  </si>
  <si>
    <t>LN40B530P7FXZA</t>
  </si>
  <si>
    <t>BN94-02746E BN97-03324E BN96-11651A BN96-11651B BN94-02746S</t>
  </si>
  <si>
    <t>PPM42M5SBX/XAA PPM42M6SBX/XAA SPS4243X/XAA</t>
  </si>
  <si>
    <t>BN96-03102A LJ41-03431A LJ92-01341A</t>
  </si>
  <si>
    <t>BN44-00182K</t>
  </si>
  <si>
    <t xml:space="preserve">LS22AQVJFV/XAA 2253LWLS22AQVJFV/XAA PT01LS22AQVJFV/XAA PT02LS22AQVJFV/XAA 0002LS22AQVJFV/XAA 0001LS22AQVJFV/XBM PT01LS22AQVJFV/XBM 0001LS22AQVJFY/XAA 2253LWLS22AQVJFY/XAA PT01LS22AQVJFY/XAA 0001LS22AQVJFY/XAA 0002LS22AQVJFY/XAA PT02
</t>
  </si>
  <si>
    <t>BN94-04174D</t>
  </si>
  <si>
    <t>LN32D403E2XPE</t>
  </si>
  <si>
    <t>BN94-01900A</t>
  </si>
  <si>
    <t>LS22MYLKF</t>
  </si>
  <si>
    <t>LS19HANSBB/XSH</t>
  </si>
  <si>
    <t>BN91-01452P BN94-01233M</t>
  </si>
  <si>
    <t>BN44-00182B</t>
  </si>
  <si>
    <t>226BW 216BW 226CW 223BW</t>
  </si>
  <si>
    <t>POWER FUENTE</t>
  </si>
  <si>
    <t>BN81-04153A F60MB4C2LV0.6</t>
  </si>
  <si>
    <t>BN44-00122A</t>
  </si>
  <si>
    <t>IP-19125A 510N 540N</t>
  </si>
  <si>
    <t>LJ92-01871A BN96-22110A</t>
  </si>
  <si>
    <t>LJ92-01881A BN96-22093A</t>
  </si>
  <si>
    <t xml:space="preserve">BUFER Y </t>
  </si>
  <si>
    <t>LJ92-00632A LJ41-01188A BN96-00253A</t>
  </si>
  <si>
    <t>Akai
PDP4298ED
Esa
PDP4294LV1 PDP4294LV
Ilo
P42BSMT
Maxent
MX-42VM10 P4202YD04
Philips
42PF9945/12 42FD9945/01 42FD9935/17
Planar
PD42ED
Proview
PDM-421 MH422-SU
Samsung
SPN4235X/XAA
Sanyo
DP42746
Tatung
P42BSMT</t>
  </si>
  <si>
    <t>$50.000</t>
  </si>
  <si>
    <t>BN94-00735N</t>
  </si>
  <si>
    <t>LS15HAAK</t>
  </si>
  <si>
    <t>LJ41-06004A BN96-08875A</t>
  </si>
  <si>
    <t>PS42A410C1XRU SS04 PN42A450P1D S906</t>
  </si>
  <si>
    <t>PL43E450A1MXZL</t>
  </si>
  <si>
    <t>LN46N81BX/XAP</t>
  </si>
  <si>
    <t>LS22TDSSU T220M</t>
  </si>
  <si>
    <t>BN91-00940A</t>
  </si>
  <si>
    <t>LNR1550PX/XAA</t>
  </si>
  <si>
    <t>PN42B430P2DXZA PN42B450B1DXZA</t>
  </si>
  <si>
    <t>LJ92-01583A BN96-09749A  LJ41-05780A</t>
  </si>
  <si>
    <t xml:space="preserve"> X MAIN</t>
  </si>
  <si>
    <t>LNT4642HX/XAA LNT4661FX/XAA LNT4665FX/XAA</t>
  </si>
  <si>
    <t>SSB460WA22-L</t>
  </si>
  <si>
    <t>SSB460WA22-R</t>
  </si>
  <si>
    <t>UN37EH5000FXZA AS01</t>
  </si>
  <si>
    <t>BN96-23773A T320HVN02.0</t>
  </si>
  <si>
    <t>LJ41-05903A LJ92-01617A BN96-09739A</t>
  </si>
  <si>
    <t>LN22A330J1DXZA LN22A330J1DXZC ST04LN22A330J1DXZC CT03</t>
  </si>
  <si>
    <t>BN44-00152C</t>
  </si>
  <si>
    <t>PS42A410C1XRU SS04PN42A450P1D S906PN42A450P1D S304PN42A410C1DXZC BC31PN42A410C1DXZC S134PN42A410C1DXZC B221PN42A410C1DXZC B240PN42A410C1DXZC S208PN42A410C1DXZC S237PN42A410C1DXZC B133PN42A410C1DXZC B238PN42A410C1DXZC SB20PN42A410C1DXZC B207PN42A410C1DXZC BC19PN42A410C1DXZC S222PN42A410C1DXZC B135PN42A410C1DXZC S136PN42A410C1DXZC S339PN42A410C1DXZC SB32PN42A400C2DXZA</t>
  </si>
  <si>
    <t>LJ41-06004A LJ92-01483B BN96-08875A</t>
  </si>
  <si>
    <t>LJ92-01495A LJ41-05135A BN96-06087A</t>
  </si>
  <si>
    <t>LJ92-01394A LJ41-04212A BN96-04595A</t>
  </si>
  <si>
    <t>PS42Q97HDX/XEU 0010PN42A450P1DXZA PN42A450P1D SI03PN42A450P1D SO03PN42A450P1D SS01PN42A410C1DXZC SD18PN42A410C1DXZC SS24PN42A410C1DXZC BO03PN42A410C1DXZC BZ05PN42A410C1DXZC B825PN42A410C1DXZC BS23PN42A410C1DXZC B803PN42A410C1DXZC BF29PN42A410C1DXZC S726PN42A410C1DXZC SO04PN42A410C1DXZC BS01PN42A410C1DXZC S704PN42A410C1DXZC 0001</t>
  </si>
  <si>
    <t>LJ92-01484B LJ41-05077B BN96-06760A</t>
  </si>
  <si>
    <t>Backlight Inverter</t>
  </si>
  <si>
    <t>LNT-4042HX/XAA</t>
  </si>
  <si>
    <t>Dynex
DX-PDP42-09
Samsung
PPM42M8HBX/XSF 0007PPM42M8HBX/XSF 0001PPM42M8HBX/XSF 0004PPM42M8HBX/XSF 0009PPM42M8HBX/XSF 0006PPM42M8HBX/XSF 0008PPM42M8HBX/XSF 0003PPM42M8HBX/XSF 0010PPM42M8HBX/XSF 0005PPM42M8HBX/XSF 0012PPM42M8HBX/XSF 0002PPM42M8HBX/XSF BS01</t>
  </si>
  <si>
    <t>LJ92-01486A LJ41-05079A BN96-06762A</t>
  </si>
  <si>
    <t>LJ92-01487A LJ41-05080A BN96-06763A</t>
  </si>
  <si>
    <t>LJ41-08387A LJ92-01705A  BN96-12953A</t>
  </si>
  <si>
    <t>LJ41-06336A LJ92-01641A BN96-09754A</t>
  </si>
  <si>
    <t>Dynex
DX-PDP42-09
Samsung
PPM42M8HBX/XAX SD06PPM42M8HBX/XAX BZ02PPM42M8HBX/XAX BF07PPM42M8HBX/XAX S704PPM42M8HBX/XAX B805PPM42M8HBX/XAX BS01PN42A450P1DXZA PN42A450P1D SI03PN42A450P1D SO03PN42A450P1D SS01PN42A410C1DXZC SD18PN42A410C1DXZC SS24PN42A410C1DXZC BO03PN42A410C1DXZC BZ05PN42A410C1DXZC B825PN42A410C1DXZC BS23PN42A410C1DXZC B803PN42A410C1DXZC BF29</t>
  </si>
  <si>
    <t xml:space="preserve">LJ41-05410A LJ92-01527A BN96-06758A </t>
  </si>
  <si>
    <t xml:space="preserve">Samsung
LA32A330J1XZN LNT3232HX/XAA LN32A300J1DXZA CK02LN32A330J1DXZA LN32A330J1NXZA LN32C350D1DXZA LNT3242HX/XAA
</t>
  </si>
  <si>
    <t>BN81-01775A LJ97-01425B LJ97-01425C</t>
  </si>
  <si>
    <t>490971400000R ILPI-036 BN81-00544A</t>
  </si>
  <si>
    <t>LJ41-08468A LJ92-01732A BN96-12962A</t>
  </si>
  <si>
    <t xml:space="preserve">LJ92-01733A LJ41-08469A </t>
  </si>
  <si>
    <t>LJ92-01734A LJ41-08470A</t>
  </si>
  <si>
    <t xml:space="preserve">LJ92-01735A LJ41-08481A </t>
  </si>
  <si>
    <t>PN43E440A2FXZA TS02 PN43E450A1FXZA TS02 PN43F4500AFXZA UD01</t>
  </si>
  <si>
    <t>JFW</t>
  </si>
  <si>
    <t>LS19HANKBM/XAA 0001LS19HANKBM/XAA 0006LS19HANKBM/XAA 0004LS19HANKBM/XAA 0003LS19HANKBM/XAA 0002LS19HANKBM/XAA 0005</t>
  </si>
  <si>
    <t>JFW-CAMARAS</t>
  </si>
  <si>
    <t>BN96-13046D</t>
  </si>
  <si>
    <t>Function</t>
  </si>
  <si>
    <t>LN32C450</t>
  </si>
  <si>
    <t>UN32EH5000FXZA UU02 UN32EH5300FXZA UU02</t>
  </si>
  <si>
    <t>BN44-00665A</t>
  </si>
  <si>
    <t>BN44-00446A</t>
  </si>
  <si>
    <t>PN51D6500DFXZA PN51D6900DFXZA PN51D7000FFXZA PN51D8000FFXZA N504 PN51D8000FFXZA N202 PN51D8000FFXZA N101</t>
  </si>
  <si>
    <t>TCOM</t>
  </si>
  <si>
    <t>jk</t>
  </si>
  <si>
    <t>LNR2050PX/XAA</t>
  </si>
  <si>
    <t xml:space="preserve">Backlight Inverter </t>
  </si>
  <si>
    <t xml:space="preserve">LJ92-01731A LJ41-08467A </t>
  </si>
  <si>
    <t xml:space="preserve">RUNTKA255WJZZ </t>
  </si>
  <si>
    <t>LC-46D43U LC-46D62U LC-46XD1E LC-60C464U</t>
  </si>
  <si>
    <t>RUNTKA257WJZZ</t>
  </si>
  <si>
    <t>LC-42D43U LC-46D43U LC-46D62U LC-46D64U LC-46XD1E LC-60C46U</t>
  </si>
  <si>
    <t>RUNTKA256WJZZ</t>
  </si>
  <si>
    <t>RUNTKA258WJZZ</t>
  </si>
  <si>
    <t>Power Supply Board</t>
  </si>
  <si>
    <t>LC-42BT10U LC-C4662U LC-C4643U LC-62C42U LC-60C52U LC-60C46U LC-52D62U LC-52D43U LC-46D62U LC-46D43U LC-46D434 LC-42D72U LC-42D62U LC-C5262U</t>
  </si>
  <si>
    <t>DUNTKD935FM01 KD935, ND935WJ</t>
  </si>
  <si>
    <t>Terminal Unit</t>
  </si>
  <si>
    <t>LC-46D43U LC-46D62U LC-C4643U LC-C4662U</t>
  </si>
  <si>
    <t>LC-46D43U LC-52D43U LC-C4643U</t>
  </si>
  <si>
    <t>MAIN BOARD</t>
  </si>
  <si>
    <t>LN32B450C4X </t>
  </si>
  <si>
    <t xml:space="preserve">MAIN BOARD  </t>
  </si>
  <si>
    <t>#</t>
  </si>
  <si>
    <t>NUMERO DE PARTE</t>
  </si>
  <si>
    <t>PRODUCTO</t>
  </si>
  <si>
    <t>COMPATIBILIDADES</t>
  </si>
  <si>
    <t>U</t>
  </si>
  <si>
    <t>PRECIO</t>
  </si>
  <si>
    <t>BN94-03919W BN91-0391W BN41-01068B</t>
  </si>
  <si>
    <t>26NA470PFXZA 26NA477PFXZA UN26EH4000FXZA CS01</t>
  </si>
  <si>
    <t>PH42KL  PPM42M8 PN42A450P1 PN42A410C  PL42A450P1 HPT4264</t>
  </si>
  <si>
    <t xml:space="preserve">V315B1-L01 REV C3 V315B1-L01 REV C4 V315B1-L01 REV 27-D017517 </t>
  </si>
  <si>
    <t>LE40R87 LE40R88 LE40S86 LNT4032 LNS4041 LNT405 LNT4042</t>
  </si>
  <si>
    <t>4H.V2358.011/C2 AUO 19.26006.310</t>
  </si>
  <si>
    <t>LNT3253 LN32B360C5 LN32A540P LN32A450C1 LN32A330J1 LE32A457C1</t>
  </si>
  <si>
    <t>42MF237S/37 Philips 42PFP5332 Samsung HPT4254 HPT4264 pl42c91</t>
  </si>
  <si>
    <t>LJ92-01729A BN96-12956A LJ41-08459</t>
  </si>
  <si>
    <t>4H.V2358.001  V235-001</t>
  </si>
  <si>
    <t>LJ94-02342A LJ94-02165D LJ94-02165C LJ94-02155P LJ94-02155N LJ94-02155J LJ94-02155F LJ94-02155E LJ94-02134B LJ94-02110C BN81-01314A S21167L06</t>
  </si>
  <si>
    <t>BN81-01286A LJ94-01318C, LJ94-01281B, LJ94-01319B, LJ94-01281C, LJ94-01319A S1318C8G00</t>
  </si>
  <si>
    <t>BN96-03743A bn96-03052a</t>
  </si>
  <si>
    <t>BN44-00115B</t>
  </si>
  <si>
    <t>BN94-02882C</t>
  </si>
  <si>
    <t>LN46B650T</t>
  </si>
  <si>
    <t>DUNTKD862FM07  KD862  XD862WJ</t>
  </si>
  <si>
    <t>CAJA #</t>
  </si>
  <si>
    <t>INDIVIDUAL</t>
  </si>
  <si>
    <t>DUEÑO</t>
  </si>
  <si>
    <t>MIP293-12</t>
  </si>
  <si>
    <t>Power Supply / Backlight Inverter</t>
  </si>
  <si>
    <t>Ldblk Board</t>
  </si>
  <si>
    <t>KDL-40EX727 KDL-40EX720KDL-60EX720KDL-55EX723KDL-55EX720KDL-55EX621KDL-55EX620KDL-46EX729KDL-46EX723KDL-46EX720KDL-46EX621KDL-46EX620KDL-60EX723</t>
  </si>
  <si>
    <t>A-1804-042-A</t>
  </si>
  <si>
    <t>bn41-00910b bn96-05983</t>
  </si>
  <si>
    <t>AV BOARD</t>
  </si>
  <si>
    <t>LE46A686</t>
  </si>
  <si>
    <t>BN94-04796G</t>
  </si>
  <si>
    <t>LT22A530LR/ZM</t>
  </si>
  <si>
    <t>BN94-01652A</t>
  </si>
  <si>
    <t>LN26R81BX/XAO</t>
  </si>
  <si>
    <t>BN94-00878A</t>
  </si>
  <si>
    <t>LN23R71WX/XAO</t>
  </si>
  <si>
    <t>BN44-00448B</t>
  </si>
  <si>
    <t>BN44-00442A</t>
  </si>
  <si>
    <t>PL43D450A2XZL  PL43D100A1MXZL</t>
  </si>
  <si>
    <t>BN44-00328A</t>
  </si>
  <si>
    <t>BN44-00293A</t>
  </si>
  <si>
    <t>BN44-00099A</t>
  </si>
  <si>
    <t>LTN1735S/XAA</t>
  </si>
  <si>
    <t>AK94-00329N</t>
  </si>
  <si>
    <t>DVD-C350/XAX</t>
  </si>
  <si>
    <t>AK92-01547F</t>
  </si>
  <si>
    <t>DVD-F1080/XAO</t>
  </si>
  <si>
    <t>AH96-00469A</t>
  </si>
  <si>
    <t>MM-C430/XAO</t>
  </si>
  <si>
    <t>AH92-03076A</t>
  </si>
  <si>
    <t>MAX-G85T/XAO</t>
  </si>
  <si>
    <t>AH92-02840A</t>
  </si>
  <si>
    <t xml:space="preserve">AH44-00178A AH44-00178A </t>
  </si>
  <si>
    <t>LN40C530F1RXXZL   MS35-D044458  U460H1-CH7</t>
  </si>
  <si>
    <t>LN32C550J1RXZL  VERSION AA03  AA01</t>
  </si>
  <si>
    <t>LN32C480H1XZL   VERSION AO02</t>
  </si>
  <si>
    <t>LN26A450C1  VERSION CT01</t>
  </si>
  <si>
    <t>BP47-00060A</t>
  </si>
  <si>
    <t>BALLAST 180W-230W</t>
  </si>
  <si>
    <t>SP2503SWX/ZA  SP-M250S</t>
  </si>
  <si>
    <t xml:space="preserve">LJ94-00389Z  </t>
  </si>
  <si>
    <t>LNS2341W  LNR238WXX/XAA</t>
  </si>
  <si>
    <t>T-COM</t>
  </si>
  <si>
    <t>FUENTE  IP-54145T</t>
  </si>
  <si>
    <t>T-CON</t>
  </si>
  <si>
    <t>TARJETA FUENTE POWER SUPPLY</t>
  </si>
  <si>
    <t>SHARP LC-40D68U</t>
  </si>
  <si>
    <t>W</t>
  </si>
  <si>
    <t>SONY KDL-60NX810</t>
  </si>
  <si>
    <t xml:space="preserve">1-474-300-11 G6 </t>
  </si>
  <si>
    <t>1-474-287-11 GE3</t>
  </si>
  <si>
    <t>COSTO</t>
  </si>
  <si>
    <t>LC0819-4101BC   LC0819-4101BC</t>
  </si>
  <si>
    <t>LC-32D47UA</t>
  </si>
  <si>
    <t>RUNTKA320WJZZ</t>
  </si>
  <si>
    <t>Upper Right Backlight Inverter</t>
  </si>
  <si>
    <t>SHARP LC-42D64U</t>
  </si>
  <si>
    <t xml:space="preserve">A-1052-774-A </t>
  </si>
  <si>
    <t>Upu Mount</t>
  </si>
  <si>
    <t>KE-42M1</t>
  </si>
  <si>
    <t>1-474-310-11 G14</t>
  </si>
  <si>
    <t>KDL-40BX420  KDL-40BX421</t>
  </si>
  <si>
    <t>SONY KDL-32BX320 / 32BX327</t>
  </si>
  <si>
    <t>Lc-c4643u, Lc-c4662u,</t>
  </si>
  <si>
    <t xml:space="preserve">Duntkd935fm01 Av </t>
  </si>
  <si>
    <t xml:space="preserve">SONY  </t>
  </si>
  <si>
    <t>KDL-55NX817</t>
  </si>
  <si>
    <t>LC-52D78UN</t>
  </si>
  <si>
    <t>Duntkf496fm03</t>
  </si>
  <si>
    <t>SONY</t>
  </si>
  <si>
    <t>RUNTKA453WJZZ</t>
  </si>
  <si>
    <t>SHARP LC-46D64U</t>
  </si>
  <si>
    <t>2i</t>
  </si>
  <si>
    <t>RUNTKA454WJZZ</t>
  </si>
  <si>
    <t>Lg 32lh2000-za Lg 32lh20</t>
  </si>
  <si>
    <t>Rdenc2590tpzz</t>
  </si>
  <si>
    <t>KDL-40M4000</t>
  </si>
  <si>
    <t xml:space="preserve">A-1788-279-A </t>
  </si>
  <si>
    <t>INVERSORA</t>
  </si>
  <si>
    <t>Sony 1-857-211-11</t>
  </si>
  <si>
    <t>SONY KDL-46NX711SONY KDL-46NX810</t>
  </si>
  <si>
    <t>VIT71060.50</t>
  </si>
  <si>
    <t>KDL-55NX810</t>
  </si>
  <si>
    <t>LJ97-03088A</t>
  </si>
  <si>
    <t>RUNTKA455WJZZ</t>
  </si>
  <si>
    <t>RUNTKA319WJZZ</t>
  </si>
  <si>
    <t>27-D054185</t>
  </si>
  <si>
    <t>1-857-518-11</t>
  </si>
  <si>
    <t xml:space="preserve">Sony KDL-32L504 KDL-32L500 </t>
  </si>
  <si>
    <t xml:space="preserve"> Backlight Inverter</t>
  </si>
  <si>
    <t>KDL-32BX300 KDL-32EX301</t>
  </si>
  <si>
    <t>KDL-32EX400</t>
  </si>
  <si>
    <t>AUO</t>
  </si>
  <si>
    <t>LC-42D43U LC-46D43U</t>
  </si>
  <si>
    <t>V266-001</t>
  </si>
  <si>
    <t xml:space="preserve">E206453 </t>
  </si>
  <si>
    <t>Backlight Inverter Board</t>
  </si>
  <si>
    <t>LC46D62U</t>
  </si>
  <si>
    <t>RUNTKA387WJZZ</t>
  </si>
  <si>
    <t>SHARP LC-46X20E</t>
  </si>
  <si>
    <t>PD42VH80</t>
  </si>
  <si>
    <t xml:space="preserve">BUFFER  </t>
  </si>
  <si>
    <t>KDL-40S504 KDL-40SL150 KDL-40S5100 KDL-40V5100 </t>
  </si>
  <si>
    <t xml:space="preserve"> Sony </t>
  </si>
  <si>
    <t>KDL-40EX400</t>
  </si>
  <si>
    <t>Kdl-40bx420</t>
  </si>
  <si>
    <t>TARJETA INVERTER SONY KDL-32CX527</t>
  </si>
  <si>
    <t xml:space="preserve">LJ97-02541B </t>
  </si>
  <si>
    <t>inverter</t>
  </si>
  <si>
    <t>LJ97-001183A</t>
  </si>
  <si>
    <t>1i</t>
  </si>
  <si>
    <t xml:space="preserve"> SSB460HA24-R KDL-46W3000 KDL-46XBR5</t>
  </si>
  <si>
    <t xml:space="preserve"> SSB460HA24-R KDL-46W3000 KDL-46XBR6</t>
  </si>
  <si>
    <t>SSB460HA24-L</t>
  </si>
  <si>
    <t>KDL-40EX500</t>
  </si>
  <si>
    <t>LJ97-02541A</t>
  </si>
  <si>
    <t xml:space="preserve"> inverter board</t>
  </si>
  <si>
    <t>INVERTER BOARD</t>
  </si>
  <si>
    <t>SC</t>
  </si>
  <si>
    <t>TNPA3624AC</t>
  </si>
  <si>
    <t>TNPA3620</t>
  </si>
  <si>
    <t>SD CONTROL</t>
  </si>
  <si>
    <t>TNPA3625</t>
  </si>
  <si>
    <t>DG BOARD</t>
  </si>
  <si>
    <t>TNPA3544</t>
  </si>
  <si>
    <t>PC BOARD</t>
  </si>
  <si>
    <t>PCB AUDIO VIDEO</t>
  </si>
  <si>
    <t>A-1207-096-C</t>
  </si>
  <si>
    <t>Inverter</t>
  </si>
  <si>
    <t>Main</t>
  </si>
  <si>
    <t>Fuente</t>
  </si>
  <si>
    <t>42hdlj41</t>
  </si>
  <si>
    <t>Buffer</t>
  </si>
  <si>
    <t>LJ41-03387A</t>
  </si>
  <si>
    <t>Logic Board</t>
  </si>
  <si>
    <t xml:space="preserve">PCLF-D002 </t>
  </si>
  <si>
    <t xml:space="preserve">Driver Board </t>
  </si>
  <si>
    <t>TC-L42E3M</t>
  </si>
  <si>
    <t>INVERSOR</t>
  </si>
  <si>
    <t xml:space="preserve">TC-32LX70L </t>
  </si>
  <si>
    <t xml:space="preserve">Tc-32lx70l </t>
  </si>
  <si>
    <t xml:space="preserve"> LN37A450C1DXZA</t>
  </si>
  <si>
    <t>Main Board</t>
  </si>
  <si>
    <t>BN44-00217A</t>
  </si>
  <si>
    <t>BACKLIGHT HOLDER</t>
  </si>
  <si>
    <t>32LC4R</t>
  </si>
  <si>
    <t>TH-42PD50</t>
  </si>
  <si>
    <t>board de circuito</t>
  </si>
  <si>
    <t>TNPA3545</t>
  </si>
  <si>
    <t>TNPA3546</t>
  </si>
  <si>
    <t>klv-32l500A</t>
  </si>
  <si>
    <t>Board video</t>
  </si>
  <si>
    <t>UN55FH6200F</t>
  </si>
  <si>
    <t xml:space="preserve">X-Buffer </t>
  </si>
  <si>
    <t>X BUFFER</t>
  </si>
  <si>
    <t>PN51D450A2D</t>
  </si>
  <si>
    <t>T-com</t>
  </si>
  <si>
    <t>main Board</t>
  </si>
  <si>
    <t>ps42c350b1</t>
  </si>
  <si>
    <t>PN50C450B1D</t>
  </si>
  <si>
    <t xml:space="preserve"> BN96-17226A LJ92-01727B </t>
  </si>
  <si>
    <t>X Main Board</t>
  </si>
  <si>
    <t xml:space="preserve"> Y-Main Board</t>
  </si>
  <si>
    <t xml:space="preserve"> LJ41-08458A LJ41-08458A</t>
  </si>
  <si>
    <t>BN44-00329A, BN44-00330A</t>
  </si>
  <si>
    <t>PN42C430A1DXZA PN42C450B1DXZA</t>
  </si>
  <si>
    <t xml:space="preserve">Main Board </t>
  </si>
  <si>
    <t xml:space="preserve">BN94-04354A BN97-05172A BN41-01590A </t>
  </si>
  <si>
    <t>PN51D550C1</t>
  </si>
  <si>
    <t xml:space="preserve">fuente </t>
  </si>
  <si>
    <t>KDL-32L4000</t>
  </si>
  <si>
    <t>PN51D430A3D PN51D440A5D PN51D450A2D</t>
  </si>
  <si>
    <t>BN96-20513A LJ92-01750D  LJ41-09475A </t>
  </si>
  <si>
    <t>LC-52D64U</t>
  </si>
  <si>
    <t xml:space="preserve"> RUNTKA327WJZZ </t>
  </si>
  <si>
    <t>Y-Buffer</t>
  </si>
  <si>
    <t>PN51E450A1F</t>
  </si>
  <si>
    <t>LJ41-09425A, LJ92-01762A</t>
  </si>
  <si>
    <t>BN94-03093E</t>
  </si>
  <si>
    <t> A-1184-344-A, A-1204-353-A, 1-871-231-11</t>
  </si>
  <si>
    <t>TNPA5364CD TNPA5364 5364CD</t>
  </si>
  <si>
    <t>1I</t>
  </si>
  <si>
    <t>ps51e490b1k ps51e450a PS51E6500</t>
  </si>
  <si>
    <t>XSUS</t>
  </si>
  <si>
    <t xml:space="preserve"> bn96-22085a lj92-01883a</t>
  </si>
  <si>
    <t xml:space="preserve">Main </t>
  </si>
  <si>
    <t>PD32G03_BSM Un32D4003B</t>
  </si>
  <si>
    <t>T-con T-com</t>
  </si>
  <si>
    <t xml:space="preserve">6870c-0060g </t>
  </si>
  <si>
    <t>32lc2d 32lx2r 32lx1d</t>
  </si>
  <si>
    <t>KLV-22BX300 KLV-32BX300</t>
  </si>
  <si>
    <t>Kdl-32l5000</t>
  </si>
  <si>
    <t>sony</t>
  </si>
  <si>
    <t>TNPA3243, TNPA3543, TNPA3242</t>
  </si>
  <si>
    <t xml:space="preserve">TH-42PD50U </t>
  </si>
  <si>
    <t>TNPA3543, TNPA3242, TNPA3243</t>
  </si>
  <si>
    <t>6636L-0018A, 6636L-0009A</t>
  </si>
  <si>
    <t>VIT71884,10</t>
  </si>
  <si>
    <t>LJ92-01393A, LJ41-04211A, LJ41-04212A</t>
  </si>
  <si>
    <t>KDL-40V2500 KDL-46V2500</t>
  </si>
  <si>
    <t>RDENC2299TPZZ QKITF0169SNP2</t>
  </si>
  <si>
    <t xml:space="preserve"> 3240WTC4LV0.5. LJ94-01370D, </t>
  </si>
  <si>
    <t>LJ92-01396A LJ41-04214A</t>
  </si>
  <si>
    <t>Duntkd999Fm07</t>
  </si>
  <si>
    <t>LC-32D43U LC-C3742U</t>
  </si>
  <si>
    <t>LJ41-04210A</t>
  </si>
  <si>
    <t>6632L-0279B</t>
  </si>
  <si>
    <t>6632L-0278B</t>
  </si>
  <si>
    <t>TNPA3540AF</t>
  </si>
  <si>
    <t>TH42PX50U TH-37PE50b TH42PD50</t>
  </si>
  <si>
    <t>TH-42PD50U TH-42PD50U  TC-P50ST60</t>
  </si>
  <si>
    <t>DT CONTROL TUNER</t>
  </si>
  <si>
    <t>TH-37PX50U TH-37PX50U  TH-42PD50U  TH-50PX500</t>
  </si>
  <si>
    <t>INTERFACE DE SONIDO</t>
  </si>
  <si>
    <t>TH-42PD50U TH-42PM50U</t>
  </si>
  <si>
    <t>BUFFER</t>
  </si>
  <si>
    <t>ZSUS</t>
  </si>
  <si>
    <t xml:space="preserve"> TH42PD50 TH42PM50U TH42PX50U TH50PM50U TH50PX50U TH-37PE50B TH-37PA50H</t>
  </si>
  <si>
    <t>AUIDIO BOARD</t>
  </si>
  <si>
    <t>LC-32D43U LC-32D42U LC-32SB24U</t>
  </si>
  <si>
    <t>Ln40F7M LN40D503F7M  LN40E550F7FXZA</t>
  </si>
  <si>
    <t>32LK450U 32LK330U 32LD320 32LD490 32LK450U</t>
  </si>
  <si>
    <t>42HDJL41 Philips 42PF5321D/37 Magnavox 42MF230A/37  Samsung PS42S5H TPD42HP</t>
  </si>
  <si>
    <t>42hdlj41 Magnavox 42MF237S/37|Samsung PS42Q96HDX/XEU|Samsung PPM42M7HBX/XAA SK01|Samsung PPM42M7HBX/XAA 0001|Samsung HPT4264X/XAC 0001|Samsung HPT4264X/XAC SK01|Samsung HPT4264X/XAC BK02|Samsung HPT4264X/XAC SK05|Samsung HPT4254X/XAC EK04|Samsung HPT4254X/XAC SK01|Samsung HPT4254X/XAC BK02|Samsung HPT4254X/XAC AK03|Samsung HPT4254X/XAC 0001|Samsung HPT4254X/XAC SK09|Samsung HPT4254X/XAC AK10|Samsung HPT4234X/XAC SK01|Samsung HPT4234X/XAC BK02|Samsung HPT4234X/XAC AK10|Samsung HPT4234X/XAC EK04|Samsung HPT4234X/XAC AK03|Samsung HPT4234X/XAC SK09|Samsung HPT4264X/XAA|Samsung HPT4254X/XAA|Samsung HPT4234X/XAA|Philips 42PFP5532D/05|Samsung PS42Q97HDX/XEU</t>
  </si>
  <si>
    <t>TC-L42E3M TX-L42E3B</t>
  </si>
  <si>
    <t xml:space="preserve"> LN37A450C1DXZA KDL 37L400- LA37A350C1-LG 37LG10</t>
  </si>
  <si>
    <t>TH-42PD50 42PM50U|Panasonic TH-42PWD8GKJ|Panasonic TH-42PWD8GSJ|Panasonic TH-42PWD8UK|Panasonic TH-42PWD8UKJ|Sylvania 6842PEM</t>
  </si>
  <si>
    <t>TH-42PD50 TH-42PD50U</t>
  </si>
  <si>
    <t>Ht-x30</t>
  </si>
  <si>
    <t>Ah41-01029a</t>
  </si>
  <si>
    <t>Mx-d630/zx</t>
  </si>
  <si>
    <t>Ah96-01030a</t>
  </si>
  <si>
    <t>T-con</t>
  </si>
  <si>
    <t>SSB400HA20V SSB400WA20V</t>
  </si>
  <si>
    <t>LN-T4061F LNT4061FX/XAA</t>
  </si>
  <si>
    <t xml:space="preserve"> BN94-01432K BN41-00904A </t>
  </si>
  <si>
    <t>LNT4071</t>
  </si>
  <si>
    <t xml:space="preserve"> Fuente</t>
  </si>
  <si>
    <t>BN44-00167C</t>
  </si>
  <si>
    <t>LN-T4061 LNT4069F LN-T4071F</t>
  </si>
  <si>
    <t>ESL_C2LV0.5</t>
  </si>
  <si>
    <t>LTY460HN02 KDL-46EX520 KDL-32EX527</t>
  </si>
  <si>
    <t xml:space="preserve">LJ94-03149L 3149L, TDP_V0.4  </t>
  </si>
  <si>
    <t>KDL 40EX500 KDL-32EX507</t>
  </si>
  <si>
    <t>CPWBX3829TPXJ LC-46D64U LC-46D65U</t>
  </si>
  <si>
    <t xml:space="preserve"> LC-46D64U LC-46D65U</t>
  </si>
  <si>
    <t>V315H3-CPE6</t>
  </si>
  <si>
    <t>KDL-40BX421 32BX42</t>
  </si>
  <si>
    <t xml:space="preserve">CPWBX3508TPZ </t>
  </si>
  <si>
    <t>LC37M4IU  LC-37D40V LC32M41U</t>
  </si>
  <si>
    <t>KDL-40EX607</t>
  </si>
  <si>
    <t>1-857-788-11 TSL_C2LV0.2</t>
  </si>
  <si>
    <t>LC-70C7500U LC-70LE757U</t>
  </si>
  <si>
    <t>RUNTKB118WJQZ, DPS-254BP</t>
  </si>
  <si>
    <t>RUNTKA932WJQZ</t>
  </si>
  <si>
    <t>LC-60LE741E</t>
  </si>
  <si>
    <t>DUNTKG305FM01 DRC</t>
  </si>
  <si>
    <t>LC-70UD1U</t>
  </si>
  <si>
    <t>RUNTKA931WJQZ</t>
  </si>
  <si>
    <t>LC-52C6400U LC-52LE640U</t>
  </si>
  <si>
    <t>LC-32SV29U</t>
  </si>
  <si>
    <t>LC-90LE745U LC-70LE650U, LC-60C6500U, LC-60LE650U, LC-60LE655U, LC-60LE657U, LC-70C6500U, LC-70LE655U, LC-70LE657U LC-70LE550U </t>
  </si>
  <si>
    <t>G281FM01, QPWBXG281WJZZ</t>
  </si>
  <si>
    <t>LC-80LE650U</t>
  </si>
  <si>
    <t>LC-70LE757U LC-70LE857U</t>
  </si>
  <si>
    <t>F961FM20 QPWBXF961WJZZ</t>
  </si>
  <si>
    <t>LC-70C8470U LC-60LE845U</t>
  </si>
  <si>
    <t>DUNTKF961WE01</t>
  </si>
  <si>
    <t>RP-42PX11H</t>
  </si>
  <si>
    <t>bn41-01395a</t>
  </si>
  <si>
    <t>6870VM0481E</t>
  </si>
  <si>
    <t>6871QLH034B 6870QME007C</t>
  </si>
  <si>
    <t xml:space="preserve">RP-42PX11H  </t>
  </si>
  <si>
    <t xml:space="preserve"> 6870QFE009A, 6871QDH067A, 6871QDH067B, 6870QFE011A, </t>
  </si>
  <si>
    <t>Lg RP-42PX11H HITACHI, 42EDT41A, 42EDT41A, PDP4206EME, RU-42W46X, 6842PE, PDP4210EA  </t>
  </si>
  <si>
    <t>MU42PM11 RU-42PX10C RU-42PZ71 RU-42PX11 RP-42PX11</t>
  </si>
  <si>
    <t>6870QDE011A</t>
  </si>
  <si>
    <t>6870QSE009C 6871QRH037B</t>
  </si>
  <si>
    <t>RP-42PX11</t>
  </si>
  <si>
    <t>42PX3RVA RU-42PX10C RU-42PZ71 RU-42PX11 RP-42PX11H</t>
  </si>
  <si>
    <t>6871QCH034A 6870QCE014B</t>
  </si>
  <si>
    <t>6870VS9036A</t>
  </si>
  <si>
    <t>RP42PX11H</t>
  </si>
  <si>
    <t>Insignia ns-29ld120a13</t>
  </si>
  <si>
    <t>LJ97-02545A</t>
  </si>
  <si>
    <t>de don j</t>
  </si>
  <si>
    <t>fuente</t>
  </si>
  <si>
    <t>Inverter Board</t>
  </si>
  <si>
    <t>460UXN-3 LH46GWPLBC/ZA</t>
  </si>
  <si>
    <t>SSI460_12C01  LJ97-03129A</t>
  </si>
  <si>
    <t>LH46GWPLBC/ZA 460UXN-3</t>
  </si>
  <si>
    <t>T-Con Board</t>
  </si>
  <si>
    <t>BN94-05745P, BN97-06693C</t>
  </si>
  <si>
    <t>LH46GWPLBC/ZA 460UXN-4</t>
  </si>
  <si>
    <t>t-con</t>
  </si>
  <si>
    <t>SSI320_8C01</t>
  </si>
  <si>
    <t>F6102 T4A H/250V</t>
  </si>
  <si>
    <t>Felipe</t>
  </si>
  <si>
    <t>main</t>
  </si>
  <si>
    <t>Kdl-32w607A</t>
  </si>
  <si>
    <t>ST320AU_4S01</t>
  </si>
  <si>
    <t>CLCD-3231</t>
  </si>
  <si>
    <t>MS-1E198407</t>
  </si>
  <si>
    <t>DUNTKF975FM20, DUNTKF975WE14, QPWBXF975WJN1, KF975, QKITPF975WJN1, XF975WJZZ, E239218</t>
  </si>
  <si>
    <t>KDL-32BX420 KDL-32BX421 KDL-32BX327</t>
  </si>
  <si>
    <t>32fa400</t>
  </si>
  <si>
    <t>V270B1-L01-C</t>
  </si>
  <si>
    <t>A27W221</t>
  </si>
  <si>
    <t>V070-001</t>
  </si>
  <si>
    <t xml:space="preserve"> INVERTER </t>
  </si>
  <si>
    <t>MASTER, SLAVE</t>
  </si>
  <si>
    <t>kdl-32ex550</t>
  </si>
  <si>
    <t>APS-323</t>
  </si>
  <si>
    <t>ilpi-036</t>
  </si>
  <si>
    <t xml:space="preserve">920wm </t>
  </si>
  <si>
    <t>ah41-01185c</t>
  </si>
  <si>
    <t xml:space="preserve"> Mm-C430</t>
  </si>
  <si>
    <t>MM-G25</t>
  </si>
  <si>
    <t>ah41-01208b</t>
  </si>
  <si>
    <t>SSI320_12C01</t>
  </si>
  <si>
    <t>kdl-37l4000 Kdl-32l4000</t>
  </si>
  <si>
    <t>1-857-108-11</t>
  </si>
  <si>
    <t>PN64E550D1FXZA, PN64D8000FFXZA PN64E7000FF</t>
  </si>
  <si>
    <t>6870qch106d</t>
  </si>
  <si>
    <t>42PC1RVH</t>
  </si>
  <si>
    <t>AU Board</t>
  </si>
  <si>
    <t>1-871-229-12</t>
  </si>
  <si>
    <t xml:space="preserve"> KDL-40T3500 KDL-46-V25L1 KDL-46V2500</t>
  </si>
  <si>
    <t>PCB2698, PCB2699</t>
  </si>
  <si>
    <t>Kdl-46-v25l1 KDL-46S2000 KDL-46S2010</t>
  </si>
  <si>
    <t>Inverters</t>
  </si>
  <si>
    <t>kdl-46v2500 KDL-46XBR3 Kdl-46-v25l1 KDL-46W2000</t>
  </si>
  <si>
    <t>LJ94-01547D</t>
  </si>
  <si>
    <t>Kdl-46-v25l1 kdl-46s2530 KDL-46S2010 KLV-46V200A kdl-46v2000</t>
  </si>
  <si>
    <t>PCB2701 PCB2700</t>
  </si>
  <si>
    <t>1-871-550-11</t>
  </si>
  <si>
    <t>KDL-46V500 Kdl40v2500 ,Kdl-46-v25l1 Kdl-46ex701 </t>
  </si>
  <si>
    <t xml:space="preserve">Placa usb </t>
  </si>
  <si>
    <t>Tuner</t>
  </si>
  <si>
    <t>1-869-519-11</t>
  </si>
  <si>
    <t>kdl-46v25l1, KDL 40S20L1 KDL-40S2000 KDL-32S200A KDL-26S2010 kdl-23s2000</t>
  </si>
  <si>
    <t>1-871-504-11</t>
  </si>
  <si>
    <t>Tc-p50xt50h TX-P50X60B</t>
  </si>
  <si>
    <t>TNPA5590-TNPA5591</t>
  </si>
  <si>
    <t>Kdl40s2000 Kdl46s2000 KDL-40S2530</t>
  </si>
  <si>
    <t>400WSC4LV0.4  LJ94-01488E</t>
  </si>
  <si>
    <t>1-869-852-12</t>
  </si>
  <si>
    <t>Kdl40s2000 KDL32S2000 KDL40S20L1</t>
  </si>
  <si>
    <t>Kdl40s2000 Kdl32s2000</t>
  </si>
  <si>
    <t>1-869-849</t>
  </si>
  <si>
    <t>1-726-916-11</t>
  </si>
  <si>
    <t>Kdl40s2000 KDL-32S20001</t>
  </si>
  <si>
    <t>Placa USB</t>
  </si>
  <si>
    <t>Kdl40s2000 KDL-40V2000 kdl-40s20l1 Klv-40s200a Klv40s500a  Kdl-46V200a</t>
  </si>
  <si>
    <t xml:space="preserve">     </t>
  </si>
  <si>
    <t>SSI400-10B01</t>
  </si>
  <si>
    <t>KDL-40BX427</t>
  </si>
  <si>
    <t xml:space="preserve">EAX63551401 </t>
  </si>
  <si>
    <t xml:space="preserve">Zsus inverter </t>
  </si>
  <si>
    <t>50PT353K 50pt260e</t>
  </si>
  <si>
    <t>50PT353 50pt2620e</t>
  </si>
  <si>
    <t>eax63332901</t>
  </si>
  <si>
    <t> Samsung PS-42P5H Philips 42PF9630A/37 42pf7321/78</t>
  </si>
  <si>
    <t>X-Main</t>
  </si>
  <si>
    <t>LJ41-02758A</t>
  </si>
  <si>
    <t>42PF7220A/37 42pf9630 42PF3320/10</t>
  </si>
  <si>
    <t>lj44-00101b</t>
  </si>
  <si>
    <t>42pf9630</t>
  </si>
  <si>
    <t xml:space="preserve"> T-con</t>
  </si>
  <si>
    <t>Philips</t>
  </si>
  <si>
    <t>LJ-41-02331A LJ-41-02332A</t>
  </si>
  <si>
    <t xml:space="preserve">42pf9630 </t>
  </si>
  <si>
    <t>Audio 2K15</t>
  </si>
  <si>
    <t>PHILIPS</t>
  </si>
  <si>
    <t>UN40EH4000</t>
  </si>
  <si>
    <t>Bn44-00492a</t>
  </si>
  <si>
    <t>aps-285</t>
  </si>
  <si>
    <t>Kdl-46v4100</t>
  </si>
  <si>
    <t>SSB460HA24</t>
  </si>
  <si>
    <t xml:space="preserve"> Inverter</t>
  </si>
  <si>
    <t>Jk</t>
  </si>
  <si>
    <t>Samsung LNR469DX/XAA
Samsung LNS4692DX/XAA
Samsung BE46PSNB
Mitsubishi MDT461S
Nec LCD4610
Westinghouse LTV-46W1HD
Daytek DT4660</t>
  </si>
  <si>
    <t>UN32B6000V ue32b7020ww</t>
  </si>
  <si>
    <t>KDL-50W657A KDL-50W656A</t>
  </si>
  <si>
    <t xml:space="preserve"> ST500AU</t>
  </si>
  <si>
    <t>ln46b650t ln46b630 LN46B550K1 LN46B610A LN46B750</t>
  </si>
  <si>
    <t>SSB46B0H16V01</t>
  </si>
  <si>
    <t>kdl-40EX527</t>
  </si>
  <si>
    <t>ln46b650t LN46C530 LN46B640R ln46b530p ln46b610</t>
  </si>
  <si>
    <t>BN44-00265B</t>
  </si>
  <si>
    <t>Lj97-01651a SS400W16V16</t>
  </si>
  <si>
    <t>LN40A330 LN40A550</t>
  </si>
  <si>
    <t>LNT4661FX/XAA</t>
  </si>
  <si>
    <t>40pfl3705d/f7 40PFL3505D/F7 40HFL2082D/F7</t>
  </si>
  <si>
    <t>Main digital</t>
  </si>
  <si>
    <t xml:space="preserve">RDENC2611TPZZ </t>
  </si>
  <si>
    <t>40PFL3505D/F7 40PFL3705D/F7  SYLVANIA LC407SS1 SHARP LC-40D78UN</t>
  </si>
  <si>
    <t>40PFL3705D/F7</t>
  </si>
  <si>
    <t>Main Audio Video</t>
  </si>
  <si>
    <t>BA01P0F0102 3_A</t>
  </si>
  <si>
    <t>KLV-40BX420 kdl-40cx527</t>
  </si>
  <si>
    <t>L19C350D1XZL</t>
  </si>
  <si>
    <t>UN32B6000V</t>
  </si>
  <si>
    <t>LN40C530 revisar</t>
  </si>
  <si>
    <t>PN59D550C1FXZA PN59D6500DFXZA I201 PN59D6900DFXZA PN59D7000FFXZA</t>
  </si>
  <si>
    <t>Rca 37LA45RQ Samsung LE37C650L1KXXU LN37C530F1FXZA LN37C550J1FXZA</t>
  </si>
  <si>
    <t>V298-502HF 4H.V2988.071/A1 V298-502HF BN81-04438A revisar</t>
  </si>
  <si>
    <t>PS50C6900YK</t>
  </si>
  <si>
    <t>LJ41-08384A</t>
  </si>
  <si>
    <t>PS50C6900YK PN50C6500TF, PN50C550G15/680G5F</t>
  </si>
  <si>
    <t>BN94-03515E revisar</t>
  </si>
  <si>
    <t>LNS4051DX/XAA LNS4051DX/XAP SP01 SP02 LNS4051DX/XAP LNS4051DX/XAP AM04 AM03 LNS4051DX/XAP LNS4052DX/XAA</t>
  </si>
  <si>
    <t xml:space="preserve">UN55F7050AFXZA UN55F7100AFXZA UN55F7450AFXZA UN55F7500AFXZA UN55F8000BFXZA
</t>
  </si>
  <si>
    <t>LA40C530F1RMXL LA40C530F1RMXL LE40C550J1WXRU LE40C550J1WXRU LE40C550J1WXZT LE40C550J1WXZT LE40C550J1WXZT LE40C550J1WXXU LE40C550J1WXXU LE40C550J1WXXU LE40C550J1WXXC LE40C550J1WXXC LE40C550J1WXXC LE40C550J1WXXH LE40C550J1WXXH LE40C550J1WXXH LE40C550J1WXZG LE40C550J1WXZG LE40C550J1WXZG LE40C550J1WXTK LN40C530F1FXZA LN40C500F3FXZA LE40C580J1KXXU LE40C530F1WXXU LE40C530F1WXXU LE40C530F1WXXU LE40C550J1WXXN LE40C550J1WXXN LE40C550J1WXXN</t>
  </si>
  <si>
    <t xml:space="preserve">PN51E490B4FXZA PN51F4500AFXZA PN51E530A3FXZA PN51E535A3FXZA PN51E550D1FXZAPN51E6500EFXZA
</t>
  </si>
  <si>
    <t>PN51E440A2FXZA TD02 PN51E450A1FXZA TD02 PN51E490B4FXZA TS04  PN51F4500AFXZA US02</t>
  </si>
  <si>
    <t>Lh400dlplga-za</t>
  </si>
  <si>
    <t>I400ha04c4lv0-0</t>
  </si>
  <si>
    <t>LA46N81BX/XME LNT4661FX/XAA</t>
  </si>
  <si>
    <t>BN81-01688A REVISAR</t>
  </si>
  <si>
    <t>PS50C450B1WXXU PN50B450B1DXZA PN50B430P2DXZA PN50B400P3DXZA PH50KRPLBF/EN EA04PH50KRPLBF/EN EA02PH50KRPLBF/EN EA05PH50KRPLBF/EN EA01PH50KRPLBF/EN EB06PN50C680G5FXZA PN50C675G6FXZA PN50C590G4FXZA PN50C550G1FXZA PN50C540G3FXZA PH50KRPLBF/ZA EA05PH50KRPLBF/ZA EA04PH50KRPLBF/ZA EA02PH50KRPLBF/ZA EA01PN50C450B1DXZA NY02PN50C450B1DXZA NY01PN50C430A1DXZA PN50C490B3DXZA</t>
  </si>
  <si>
    <t>LN46C530F1FXZA LN46C550J1FXZA LN46D550K1FXZA</t>
  </si>
  <si>
    <t>Bn81-05901a</t>
  </si>
  <si>
    <t>LJ41-05076A LJ92-01482A BN96-06757A revisar</t>
  </si>
  <si>
    <t xml:space="preserve">Philips 42PFP5332D/37 Samsung HPT4264X/XAC 0001HPT4264X/XAC SK01HPT4264X/XAC BK02HPT4264X/XAC SK05HPT4254X/XAC EK04HPT4254X/XAC SK01HPT4254X/XAC BK02HPT4254X/XAC AK03HPT4254X/XAC 0001HPT4254X/XAC SK09HPT4254X/XAC AK10HPT4234X/XAC SK01HPT4234X/XAC BK02HPT4234X/XAC AK10HPT4234X/XAC EK04HPT4234X/XAC AK03HPT4234X/XAC SK09HPT4264X/XAA HPT4254X/XAA HPT4234X/XAA PPM42M7HBX/XAA SK01PPM42M7HBX/XAA 0001
</t>
  </si>
  <si>
    <t>PN42B450B1DXZA PS42B451B2WXXU</t>
  </si>
  <si>
    <t>PPM42M8HBX/XSF 0007PPM42M8HBX/XSF 0001PPM42M8HBX/XSF 0004PPM42M8HBX/XSF 0009PPM42M8HBX/XSF 0006PPM42M8HBX/XSF 0008PPM42M8HBX/XSF 0003PPM42M8HBX/XSF 0010PPM42M8HBX/XSF 0005PPM42M8HBX/XSF 0012PPM42M8HBX/XSF 0002PPM42M8HBX/XSF BS01</t>
  </si>
  <si>
    <t xml:space="preserve">Insignia
NS-50P650A11
Samsung
PH50KRPLBF/EN EA04PH50KRPLBF/EN EA02PH50KRPLBF/EN EA05PH50KRPLBF/EN EA01PH50KRPLBF/EN EB06PH50KRPLBF/ZA EA05PH50KRPLBF/ZA EA04PH50KRPLBF/ZA EA02PH50KRPLBF/ZA EA01PN50C430A1DXZA PN50C450B1DXZA PN50C450B1DXZA NY01PS50C450B1WXXU
Viore
PD50VH80
</t>
  </si>
  <si>
    <t>LC0919-4001AC revisar</t>
  </si>
  <si>
    <t>1-474-250-11</t>
  </si>
  <si>
    <t>KDL-40CX520</t>
  </si>
  <si>
    <t>1-474-282-11</t>
  </si>
  <si>
    <t>KDL-32EX710  KDL-32EX715</t>
  </si>
  <si>
    <t>KDL-32EX421  KDL-32EX520  KDL-32EX521</t>
  </si>
  <si>
    <t>1-474-277-12</t>
  </si>
  <si>
    <t>KDL-60NX810</t>
  </si>
  <si>
    <t>KDL-46NX711 KDL-46NX810 KDL-55NX810</t>
  </si>
  <si>
    <t>1-474-255-11 revisar con la siguente urgente</t>
  </si>
  <si>
    <t>1-474-257-11 G9B yo soy la siguente</t>
  </si>
  <si>
    <t>KDL-40EX620 KDL-40EX621 KDL-40EX720</t>
  </si>
  <si>
    <t>KDL-40EX520 KDL-40EX521 KDL-40EX523</t>
  </si>
  <si>
    <t>UN40D5500RFXZA</t>
  </si>
  <si>
    <t>BN44-00423A revisar</t>
  </si>
  <si>
    <t>APS-283</t>
  </si>
  <si>
    <t>Kdl-46NX717</t>
  </si>
  <si>
    <t>LC-46D64U</t>
  </si>
  <si>
    <t>LC-42D43USHARP LC-42D64U</t>
  </si>
  <si>
    <t>Klv-32l500a</t>
  </si>
  <si>
    <t>LJ92-01739B</t>
  </si>
  <si>
    <t>Cmo 27-d052575 revisar</t>
  </si>
  <si>
    <t>LNS4041D LNS4051D LN40R71</t>
  </si>
  <si>
    <t>BN44-00472A revisar</t>
  </si>
  <si>
    <t>  Lj41-10182a lj92-01881a revisar</t>
  </si>
  <si>
    <t>PN50C550G1F UN55FH6200F</t>
  </si>
  <si>
    <t>un50eh5000vxza pn51e490b4f</t>
  </si>
  <si>
    <t xml:space="preserve">SST400_08A01 </t>
  </si>
  <si>
    <t>LJ94-27203D</t>
  </si>
  <si>
    <t>kdl-40s2530 kdl-40v2000 46V2500 kdl-46v25l1</t>
  </si>
  <si>
    <t>BA01P2G0401 40PFL3505D/F7 40HFL2082D/F7</t>
  </si>
  <si>
    <t>26LG30R-MA</t>
  </si>
  <si>
    <t>VIT70038.50REV:3</t>
  </si>
  <si>
    <t xml:space="preserve">Inverter </t>
  </si>
  <si>
    <t>UN39FH5005</t>
  </si>
  <si>
    <t>BN94-06190X</t>
  </si>
  <si>
    <t xml:space="preserve">LC-37D44U </t>
  </si>
  <si>
    <t>RUNTKA418WJQZ</t>
  </si>
  <si>
    <t>W(1FELIPE)</t>
  </si>
  <si>
    <t>rionegro</t>
  </si>
  <si>
    <t>kdl-40nx727 KDL-40EX727 KDL-40EX720KDL-60EX720KDL-55EX723KDL-55EX720KDL-55EX621KDL-55EX620KDL-46EX729KDL-46EX723KDL-46EX720KDL-46EX621KDL-46EX620KDL-60EX723</t>
  </si>
  <si>
    <t>FELIPE</t>
  </si>
  <si>
    <t>vit70097,10</t>
  </si>
  <si>
    <t>W R</t>
  </si>
  <si>
    <t>KDL-32BX320 / 32BX327</t>
  </si>
  <si>
    <t>aps-283</t>
  </si>
  <si>
    <t xml:space="preserve">Kdl-46ex400 </t>
  </si>
  <si>
    <t>Aps-260</t>
  </si>
  <si>
    <t>FUENTE D2</t>
  </si>
  <si>
    <t>KDL-46XBR2</t>
  </si>
  <si>
    <t xml:space="preserve">26pfl5321 </t>
  </si>
  <si>
    <t> main</t>
  </si>
  <si>
    <t>23LS7D</t>
  </si>
  <si>
    <t>EAX36495502</t>
  </si>
  <si>
    <t xml:space="preserve"> 26lx1d</t>
  </si>
  <si>
    <t>26lx1d</t>
  </si>
  <si>
    <t>6870TC05A64</t>
  </si>
  <si>
    <t xml:space="preserve">BN94-04280C </t>
  </si>
  <si>
    <t>BN94-06043B</t>
  </si>
  <si>
    <t xml:space="preserve">LC-60LE810UN </t>
  </si>
  <si>
    <t>RUNTK4512TP KF464 QPWBXF464WJN1 XF464WJ</t>
  </si>
  <si>
    <t>Lc-60le810un</t>
  </si>
  <si>
    <t>DKEYMF452FM11 KF452</t>
  </si>
  <si>
    <t>Dps-141cp / Dps-219ep</t>
  </si>
  <si>
    <t xml:space="preserve">Lc60le810u </t>
  </si>
  <si>
    <t>UN22D5000N</t>
  </si>
  <si>
    <t>v225-axx</t>
  </si>
  <si>
    <t>HT-X810T/XAH</t>
  </si>
  <si>
    <t>A-1197-882-b D1</t>
  </si>
  <si>
    <t>BN44-00447  PB6FA-DY</t>
  </si>
  <si>
    <t>BN94-01544B</t>
  </si>
  <si>
    <t xml:space="preserve">LE32A330J1XRU SQ11LE32A330J1XRU SQ10LE32A330J1XRU 0009LE32A330J1XRU SQ09 LN32A450C1DXZA LN32A330J1DXZC SQ06 LN32A330J1DXZA LE32A457C1DXXU SQ09 LE32A457C1DXXU SQ06 LE32A457C1DXXU SQ02LE32A456C2DXXU SQ04 LE32A455C1DXXU SQ09 LE32A455C1DXXU SQ06LE32A455C1DXXU SQ04 LE32A454C1XRU SQ05 LE32A454C1XRU SQ02LE32A451C1XXU SQ02 LE32A451C1XXU SQ06 LE32A451C1XRU SQ02LE32A450C2XRU 0005 LE32A450C2XRU 0006 LE32A450C2XRU SQ05LE32A450C2XRU SQ06 LE32A436T1DXXU SQ05 LE32A436T1DXXU SQ06LE32A430T1XRU SQ10 LE32A430T1XRU SQ09 LE32A430T1XRU 0010LE32A336J1DXXU SQ07 LE32A336J1DXXU SQ06 LE32A336J1DXXU SQ05LN32A540P2DXZA LN32A450C1
</t>
  </si>
  <si>
    <t>LJ41-08481A LJ92-01735A BN94-12964A</t>
  </si>
  <si>
    <t>LJ41-08460A</t>
  </si>
  <si>
    <t>LJ41-09424A</t>
  </si>
  <si>
    <t>RDENCA184WJQZ LC605-4001CC revisar</t>
  </si>
  <si>
    <t>BN44-00491A REVISAR</t>
  </si>
  <si>
    <t>TNPA3621AB TNPA3621</t>
  </si>
  <si>
    <t>TH42PD50U  TH-37PE50B TH-37PA50H</t>
  </si>
  <si>
    <t>TH-42PD50U TH-42PM50  TH-50PM50U TH-37PX50U</t>
  </si>
  <si>
    <t>TNPA3598</t>
  </si>
  <si>
    <t>SSI400_10B01 SS1400_10B01</t>
  </si>
  <si>
    <t>UN49MU6300</t>
  </si>
  <si>
    <t>BN94-11703Y</t>
  </si>
  <si>
    <t>Un49mu6300</t>
  </si>
  <si>
    <t>Wifi</t>
  </si>
  <si>
    <t>WCM730Q</t>
  </si>
  <si>
    <t>43LJ550</t>
  </si>
  <si>
    <t>EAX67264001</t>
  </si>
  <si>
    <t>bn94-11484A</t>
  </si>
  <si>
    <t>UN48J5200</t>
  </si>
  <si>
    <t>Bn44-00851</t>
  </si>
  <si>
    <t xml:space="preserve"> Un40j5200</t>
  </si>
  <si>
    <t>KDL-26M4000</t>
  </si>
  <si>
    <t>TNPA3849</t>
  </si>
  <si>
    <t>SUB POWER SUPPLY UNIT</t>
  </si>
  <si>
    <t>KDL-32L4000 KDL-32L5000 
KDL-32L504 
KDL-32LL150</t>
  </si>
  <si>
    <t>Y320AB01C2LV0.1                                                                                                                                                               LJ94-02362B 
LJ94-02362D 
LJ94-02362E 
LJ94-02362F 
LJ94-02362L 
LJ94-02362J</t>
  </si>
  <si>
    <t>bolsa</t>
  </si>
  <si>
    <t>estanteria</t>
  </si>
  <si>
    <t>EAY63149101</t>
  </si>
  <si>
    <t>65ub950t</t>
  </si>
  <si>
    <t>Bn94-08208q Bn97-09262e</t>
  </si>
  <si>
    <t>48j5300</t>
  </si>
  <si>
    <t xml:space="preserve">Bn44-00703g </t>
  </si>
  <si>
    <t>48j5300, 40j5500 , 40j6300</t>
  </si>
  <si>
    <t>Aps-252</t>
  </si>
  <si>
    <t>32ex400 32ex301 Kdl-32bx300</t>
  </si>
  <si>
    <t>15 (1)</t>
  </si>
  <si>
    <t>Estanteria (1)</t>
  </si>
  <si>
    <t>UN43T5300AKXZL</t>
  </si>
  <si>
    <t>kdl-46ex420</t>
  </si>
  <si>
    <t>VERSION BC02/UT5300/UT5300L-U43TL1</t>
  </si>
  <si>
    <t>VERSION BC02/UT5300/UT5300L-U43TL2</t>
  </si>
  <si>
    <t>VERSION BC02/UT5300/UT5300L-U43TL3</t>
  </si>
  <si>
    <t>50LB650T</t>
  </si>
  <si>
    <t>42LW5700</t>
  </si>
  <si>
    <t>LN46E550F6FXZA CH01 / LN46E550F6F / LN46D550K1FXZA HJ04 / LN46D503F6FXZA / LN46E550K1FXZA</t>
  </si>
  <si>
    <t>47LB580</t>
  </si>
  <si>
    <t>49UH603T</t>
  </si>
  <si>
    <t>43LM6300PDB</t>
  </si>
  <si>
    <t>UN55EH6030M</t>
  </si>
  <si>
    <t>UN55MU6103</t>
  </si>
  <si>
    <t>POWER SUPPLY</t>
  </si>
  <si>
    <t>84LM9600</t>
  </si>
  <si>
    <t>p/n: 3PCGC10044A-R</t>
  </si>
  <si>
    <t>p/n: 3PCGC10043A-R</t>
  </si>
  <si>
    <t>p/n: 3PCGC10045A-R</t>
  </si>
  <si>
    <t>SUB POWER SUPPLY</t>
  </si>
  <si>
    <t>LED DRIVER BOARD</t>
  </si>
  <si>
    <t>TC-P46S1X - TC-P50U1 - TN-PH0786</t>
  </si>
  <si>
    <t>X-SUS</t>
  </si>
  <si>
    <t>TC-P46S1X TX-P50G10B</t>
  </si>
  <si>
    <t>TC-P46S1X - TC-P42S1</t>
  </si>
  <si>
    <t>KDL-40S3000</t>
  </si>
  <si>
    <t>Fuente D1 Board</t>
  </si>
  <si>
    <t>50RU7100</t>
  </si>
  <si>
    <t>50RU7100 UN55RU7100FXZA CA03, FA04.
UN55RU7300FXZA CA04, FA02.
UN55RU740DFXZA FA01
UN58RU7100FXZA DB03, YA08.
UN58RU7100FXZC YA08
UN58RU710DFXZA YA08</t>
  </si>
  <si>
    <t>VERSION CA08/URU7100</t>
  </si>
  <si>
    <t>48J5300</t>
  </si>
  <si>
    <t>VERSION VS04</t>
  </si>
  <si>
    <t>LN37B530P7R</t>
  </si>
  <si>
    <t>TC-P46S1</t>
  </si>
  <si>
    <t>PN43D450</t>
  </si>
  <si>
    <t>UN46ES7000</t>
  </si>
  <si>
    <t>VERSION TS01</t>
  </si>
  <si>
    <t>LE22A656A1DXXU</t>
  </si>
  <si>
    <t>39LB5600</t>
  </si>
  <si>
    <t>KDL-40BX427 - KDL-32BX320</t>
  </si>
  <si>
    <t>42LN5400</t>
  </si>
  <si>
    <t xml:space="preserve">UA40D6600WMXZW
UA46D6400UJXXZ UA46D6400UNXZW UA46D6600WJXXZ UA46D7000LMXRD UA46D8000YNXRQ UA55D7000LJXXZ UE40D7000LSXUA UE40D7080LSXZG UE40D7090LSXZG  UE40D7005LUXXE UE46D7000LSXKZ </t>
  </si>
  <si>
    <t>49MU6500</t>
  </si>
  <si>
    <t>VERSION FA01</t>
  </si>
  <si>
    <t>UN55NU7300</t>
  </si>
  <si>
    <t>UN55NU7300 UN50NU7100FXZA DA01	UN55NU7300FXZA FA01
UN49NU7300GXPE / UN49NU7300GXZS / UN49NU7300KXZL	UE55NU7375UXXC / UE58NU7102KXXH
UN50NU7100FXZA DA01 / UN50NU7100FXZA AA02	UE49NU7100UXTK / UE49NU7100UXUA / UE49NU7100WXXN / UE49NU7102KXXH
UN50NU7200FXZA / UN50NU6900BXZA	UE49NU7300UXUA / UE49NU7370UXZT / UE49NU7372UXXH / UE49NU7175UXXC
UN50NU7100GXPE / UN50NU7100FXZC	UE49NU7170UXRU / UE49NU7170UXZG / UE49NU7170UXZT / UE49NU7172UXXH
UN50NU7100GXPR / UN50NU7100GXUG / UN50NU7100GXZS	UE49NU7100UXRU / UE49NU7100KXXU / UE49NU7100UXCE / UE49NU7300UXRU
UN50NU7100KXZL / UN50NU7100VXZA / UN50NU710DFXZA	UE49NU7300WXXN / UE49NU7302KXXH / UE49NU7305KXXC / UE49NU7370UXZG
UN55NU7300FXZA CA05 / UN55NU7300FXZA FA01	UE49NU7179UXZG / UE49NU7300KXXU / UE49NU7300UXCE / UE49NU7100UXSQ
UN55NU7300GXUG / UN55NU7300GXZS / UN55NU7300KXZL	UE49NU7105KXXC / UE49NU7120UXRU / UE49NU7140UXRU / UE49NU7170SXXN
UN55NU7100GXPR / UN55NU7100GXUG / UN55NU7100GXZS	UE55NU7170SXXN / UE55NU7170UXRU / UE55NU7170UXZG / UE55NU7100UXTK
UN55NU7100KXZL / UN55NU7100PXPA / UN55NU7300FXZC	UE55NU7100UXUA / UE55NU7100WXXN / UE55NU7102KXXH / UE55NU7105KXXC
UN55NU7100FXZA / UN55NU7100FXZC / UN55NU7100GXPE	UE55NU7170UXZT / UE55NU7172UXXH / UE55NU7175UXXC / UE55NU7179UXZG
UN55NU7200FXZA / UN55NU710DFXZA / UN55TU8200FXZA WA08	UE55NU7300KXXU / UE55NU7300UXRU / UE55NU7300UXUA / UE55NU7300WXXN
 	UE55NU7302KXXH / UE55NU7305KXXC / UE55NU7370UXZG / UE55NU7370UXZT
UN55NU6900BXZA / UN58NU7100GXZS / UN58NU710DFXZA	UE55NU7100KXXU / UE55NU7100UXCE / UE55NU7100UXMI / UE55NU7100UXRU
UN58NU7100FXZA / UN58NU7100FXZC / UN58NU7100GXPR	UE55NU7372UXXH / UE55NU7140UXRU / UE55NU7120UXRU / UE55NU7100UXSQ
UA49NU7100JXZK / UA49NU7100GXXP	HG49EJ670UBXEN / HG49EJ690UBXCI / HG49EJ690UBXEN / HG49EJ690UBXXU
UA49NU7100SXNZ / UA49NU7100WXXY / UA49NU7100WXZW	HG50NJ670UFXZA / HG50NJ690UFXZA / HG55EJ670UBXEN / HG55EJ690UBXCI
UA49NU7300GXXP / UA49NU7300JXZK / UA49NU7300KPXD	HG55EJ690UBXEN / HG55EJ690UBXXU / HG55NJ670UFXZA / HG55NJ690UFXZA
UA49NU7300KXXM / UA49NU7300KXXS / UA49NU7300KXXT	 
UA49NU7300SXNZ / UA49NU7300WXZW / UA49NU7100KPXD	 
UA49NU7100KXXM / UA49NU7100KXXS / UA49NU7100KXXT	 
UA55NU7100GXXP / UA55NU7100JXZK / UA55NU7100KPXD	 
UA55NU7100KXXM / UA55NU7100KXXS / UA55NU7100KXXT	 
UA55NU7100SXNZ / UA55NU7100WXXY / UA55NU7100WXZW	 
UA55NU7300GXXP / UA55NU7300JXXZ / UA55NU7300JXZK	 
UA55NU7300KPXD / UA55NU7300KXXM / UA55NU7300KXXS	 
UA55NU7300KXXT / UA55NU7300SXNZ / UA55NU7300WXZW</t>
  </si>
  <si>
    <t>LE32B450</t>
  </si>
  <si>
    <t>LA32A450C1LXL
LN32A330J1DXZA
LN32A330J1DXZC
LN32A330J1XZP
LN32A450C1DXZA
 LN32A450C1DXZC
LN32A450C1XRL
LN32A540P2DXZA</t>
  </si>
  <si>
    <t>KLV-40BX400 40BX300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</si>
</sst>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9" x14ac:knownFonts="1">
    <font>
      <sz val="11"/>
      <color theme="1"/>
      <name val="Calibri"/>
      <family val="2"/>
      <scheme val="minor"/>
    </font>
    <font>
      <sz val="11"/>
      <color rgb="FF006100"/>
      <name val="Calibri"/>
      <family val="2"/>
      <scheme val="minor"/>
    </font>
    <font>
      <sz val="11"/>
      <color rgb="FF9C0006"/>
      <name val="Calibri"/>
      <family val="2"/>
      <scheme val="minor"/>
    </font>
    <font>
      <sz val="11"/>
      <name val="Calibri"/>
      <family val="2"/>
      <scheme val="minor"/>
    </font>
    <font>
      <b/>
      <sz val="1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A5A5A5"/>
      </patternFill>
    </fill>
    <fill>
      <patternFill patternType="solid">
        <fgColor theme="0" tint="-0.14999847407452621"/>
        <bgColor indexed="64"/>
      </patternFill>
    </fill>
    <fill>
      <patternFill patternType="solid">
        <fgColor theme="6"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0" fontId="1" fillId="3" borderId="0" applyNumberFormat="0" applyBorder="0" applyAlignment="0" applyProtection="0"/>
    <xf numFmtId="0" fontId="2" fillId="4" borderId="0" applyNumberFormat="0" applyBorder="0" applyAlignment="0" applyProtection="0"/>
    <xf numFmtId="0" fontId="6" fillId="5" borderId="2" applyNumberFormat="0" applyAlignment="0" applyProtection="0"/>
  </cellStyleXfs>
  <cellXfs count="64">
    <xf numFmtId="0" fontId="0" fillId="0" borderId="0" xfId="0"/>
    <xf numFmtId="0" fontId="3" fillId="3" borderId="1" xfId="1" applyFont="1" applyBorder="1" applyAlignment="1">
      <alignment horizontal="center" vertical="center"/>
    </xf>
    <xf numFmtId="0" fontId="3" fillId="3" borderId="1" xfId="1" applyFont="1" applyBorder="1" applyAlignment="1">
      <alignment horizontal="center"/>
    </xf>
    <xf numFmtId="165" fontId="3" fillId="3" borderId="1" xfId="1" applyNumberFormat="1" applyFont="1" applyBorder="1" applyAlignment="1">
      <alignment horizontal="center" vertical="center"/>
    </xf>
    <xf numFmtId="165" fontId="3" fillId="3" borderId="1" xfId="1" applyNumberFormat="1" applyFont="1" applyBorder="1"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0" fontId="3" fillId="2" borderId="0" xfId="0" applyFont="1" applyFill="1" applyAlignment="1">
      <alignment horizontal="center" vertical="center"/>
    </xf>
    <xf numFmtId="0" fontId="3" fillId="2" borderId="0" xfId="0" applyFont="1" applyFill="1" applyAlignment="1">
      <alignment horizontal="center"/>
    </xf>
    <xf numFmtId="165" fontId="3" fillId="2" borderId="0" xfId="0" applyNumberFormat="1" applyFont="1" applyFill="1" applyAlignment="1">
      <alignment horizontal="center" vertical="center"/>
    </xf>
    <xf numFmtId="0" fontId="3" fillId="6" borderId="1" xfId="1" applyFont="1" applyFill="1" applyBorder="1" applyAlignment="1">
      <alignment horizontal="center" vertical="center"/>
    </xf>
    <xf numFmtId="165" fontId="3" fillId="6" borderId="1" xfId="1" applyNumberFormat="1" applyFont="1" applyFill="1" applyBorder="1" applyAlignment="1">
      <alignment horizontal="center" vertical="center"/>
    </xf>
    <xf numFmtId="0" fontId="3" fillId="6" borderId="0" xfId="1" applyFont="1" applyFill="1" applyAlignment="1">
      <alignment horizontal="center" vertical="center"/>
    </xf>
    <xf numFmtId="0" fontId="4" fillId="7" borderId="2" xfId="3" applyFont="1" applyFill="1" applyAlignment="1">
      <alignment horizontal="center"/>
    </xf>
    <xf numFmtId="165" fontId="4" fillId="7" borderId="2" xfId="3" applyNumberFormat="1" applyFont="1" applyFill="1" applyAlignment="1">
      <alignment horizontal="center"/>
    </xf>
    <xf numFmtId="0" fontId="3" fillId="7" borderId="1" xfId="1" applyFont="1" applyFill="1" applyBorder="1" applyAlignment="1">
      <alignment horizontal="center"/>
    </xf>
    <xf numFmtId="165" fontId="3" fillId="7" borderId="1" xfId="1" applyNumberFormat="1" applyFont="1" applyFill="1" applyBorder="1" applyAlignment="1">
      <alignment horizontal="center"/>
    </xf>
    <xf numFmtId="165" fontId="3" fillId="7" borderId="1" xfId="1" applyNumberFormat="1" applyFont="1" applyFill="1" applyBorder="1" applyAlignment="1">
      <alignment horizontal="center" vertical="center"/>
    </xf>
    <xf numFmtId="0" fontId="2" fillId="7" borderId="1" xfId="2" applyFill="1" applyBorder="1" applyAlignment="1">
      <alignment horizontal="center"/>
    </xf>
    <xf numFmtId="165" fontId="2" fillId="7" borderId="1" xfId="2" applyNumberFormat="1" applyFill="1" applyBorder="1" applyAlignment="1">
      <alignment horizontal="center" vertical="center"/>
    </xf>
    <xf numFmtId="0" fontId="3" fillId="7" borderId="1" xfId="1" applyFont="1" applyFill="1" applyBorder="1" applyAlignment="1">
      <alignment horizontal="center" vertical="center" wrapText="1"/>
    </xf>
    <xf numFmtId="165" fontId="3" fillId="7" borderId="1" xfId="1" applyNumberFormat="1" applyFont="1" applyFill="1" applyBorder="1" applyAlignment="1">
      <alignment horizontal="center" vertical="center" wrapText="1"/>
    </xf>
    <xf numFmtId="0" fontId="3" fillId="7" borderId="1" xfId="1" applyFont="1" applyFill="1" applyBorder="1" applyAlignment="1">
      <alignment horizontal="center" vertical="center"/>
    </xf>
    <xf numFmtId="0" fontId="4" fillId="7" borderId="2" xfId="3" applyFont="1" applyFill="1" applyAlignment="1">
      <alignment horizontal="center" vertical="center"/>
    </xf>
    <xf numFmtId="0" fontId="1" fillId="7" borderId="1" xfId="1" applyFill="1" applyBorder="1" applyAlignment="1">
      <alignment horizontal="center"/>
    </xf>
    <xf numFmtId="0" fontId="1" fillId="7" borderId="1" xfId="1" applyFill="1" applyBorder="1" applyAlignment="1">
      <alignment horizontal="center" vertical="center"/>
    </xf>
    <xf numFmtId="0" fontId="4" fillId="7" borderId="2" xfId="3" applyFont="1" applyFill="1" applyAlignment="1">
      <alignment horizontal="center" vertical="center" wrapText="1"/>
    </xf>
    <xf numFmtId="0" fontId="7" fillId="7" borderId="2" xfId="3" applyFont="1" applyFill="1" applyAlignment="1">
      <alignment horizontal="center" vertical="center"/>
    </xf>
    <xf numFmtId="0" fontId="7" fillId="7" borderId="2" xfId="3" applyFont="1" applyFill="1" applyAlignment="1">
      <alignment horizontal="center" vertical="center" wrapText="1"/>
    </xf>
    <xf numFmtId="0" fontId="7" fillId="7" borderId="2" xfId="3" applyFont="1" applyFill="1" applyAlignment="1">
      <alignment horizontal="center"/>
    </xf>
    <xf numFmtId="0" fontId="3" fillId="7" borderId="0" xfId="0" applyFont="1" applyFill="1" applyAlignment="1">
      <alignment horizontal="center"/>
    </xf>
    <xf numFmtId="165" fontId="4" fillId="7" borderId="2" xfId="3" applyNumberFormat="1" applyFont="1" applyFill="1" applyAlignment="1">
      <alignment horizontal="center" vertical="center" wrapText="1"/>
    </xf>
    <xf numFmtId="165" fontId="4" fillId="7" borderId="2" xfId="3" applyNumberFormat="1" applyFont="1" applyFill="1" applyAlignment="1">
      <alignment horizontal="center" vertical="center"/>
    </xf>
    <xf numFmtId="165" fontId="7" fillId="7" borderId="2" xfId="3" applyNumberFormat="1" applyFont="1" applyFill="1" applyAlignment="1">
      <alignment horizontal="center" vertical="center"/>
    </xf>
    <xf numFmtId="165" fontId="1" fillId="7" borderId="1" xfId="1" applyNumberFormat="1" applyFill="1" applyBorder="1" applyAlignment="1">
      <alignment horizontal="center"/>
    </xf>
    <xf numFmtId="165" fontId="5" fillId="7" borderId="1" xfId="1" applyNumberFormat="1" applyFont="1" applyFill="1" applyBorder="1" applyAlignment="1">
      <alignment horizontal="center" vertical="center"/>
    </xf>
    <xf numFmtId="165" fontId="7" fillId="7" borderId="2" xfId="3" applyNumberFormat="1" applyFont="1" applyFill="1" applyAlignment="1">
      <alignment horizontal="center" vertical="center" wrapText="1"/>
    </xf>
    <xf numFmtId="0" fontId="2" fillId="7" borderId="0" xfId="2" applyFill="1" applyAlignment="1">
      <alignment horizontal="center"/>
    </xf>
    <xf numFmtId="165" fontId="3" fillId="7" borderId="0" xfId="0" applyNumberFormat="1" applyFont="1" applyFill="1" applyAlignment="1">
      <alignment horizontal="center"/>
    </xf>
    <xf numFmtId="165" fontId="1" fillId="7" borderId="1" xfId="1" applyNumberFormat="1" applyFill="1" applyBorder="1" applyAlignment="1">
      <alignment horizontal="center" vertical="center"/>
    </xf>
    <xf numFmtId="0" fontId="1" fillId="7" borderId="0" xfId="1" applyFill="1" applyAlignment="1">
      <alignment horizontal="center" vertical="center"/>
    </xf>
    <xf numFmtId="0" fontId="3" fillId="7" borderId="0" xfId="1" applyFont="1" applyFill="1" applyAlignment="1">
      <alignment horizontal="center" vertical="center"/>
    </xf>
    <xf numFmtId="0" fontId="3" fillId="7" borderId="0" xfId="1" applyFont="1" applyFill="1" applyAlignment="1">
      <alignment horizontal="center" vertical="center" wrapText="1"/>
    </xf>
    <xf numFmtId="0" fontId="1" fillId="7" borderId="0" xfId="1" applyFill="1" applyAlignment="1">
      <alignment horizontal="center"/>
    </xf>
    <xf numFmtId="0" fontId="5" fillId="7" borderId="0" xfId="1" applyFont="1" applyFill="1" applyAlignment="1">
      <alignment horizontal="center" vertical="center" wrapText="1"/>
    </xf>
    <xf numFmtId="0" fontId="3" fillId="7" borderId="0" xfId="1" applyFont="1" applyFill="1" applyAlignment="1">
      <alignment horizontal="center"/>
    </xf>
    <xf numFmtId="0" fontId="3" fillId="7" borderId="0" xfId="1" applyFont="1" applyFill="1" applyBorder="1" applyAlignment="1">
      <alignment horizontal="center" vertical="center" wrapText="1"/>
    </xf>
    <xf numFmtId="0" fontId="3" fillId="7" borderId="5" xfId="1" applyFont="1" applyFill="1" applyBorder="1" applyAlignment="1">
      <alignment horizontal="center" vertical="center" wrapText="1"/>
    </xf>
    <xf numFmtId="0" fontId="3" fillId="6" borderId="1" xfId="1" applyFont="1" applyFill="1" applyBorder="1" applyAlignment="1">
      <alignment horizontal="center" vertical="center" wrapText="1"/>
    </xf>
    <xf numFmtId="165" fontId="3" fillId="6" borderId="1" xfId="1" applyNumberFormat="1" applyFont="1" applyFill="1" applyBorder="1" applyAlignment="1">
      <alignment horizontal="center" vertical="center" wrapText="1"/>
    </xf>
    <xf numFmtId="0" fontId="4" fillId="7" borderId="2" xfId="3" applyNumberFormat="1" applyFont="1" applyFill="1" applyAlignment="1">
      <alignment horizontal="center" vertical="center" wrapText="1"/>
    </xf>
    <xf numFmtId="0" fontId="2" fillId="7" borderId="1" xfId="2" applyFill="1" applyBorder="1" applyAlignment="1">
      <alignment horizontal="center" vertical="center" wrapText="1"/>
    </xf>
    <xf numFmtId="0" fontId="2" fillId="7" borderId="0" xfId="2" applyFill="1" applyAlignment="1">
      <alignment horizontal="center" vertical="center" wrapText="1"/>
    </xf>
    <xf numFmtId="165" fontId="3" fillId="7" borderId="3" xfId="1" applyNumberFormat="1" applyFont="1" applyFill="1" applyBorder="1" applyAlignment="1">
      <alignment horizontal="center" vertical="center" wrapText="1"/>
    </xf>
    <xf numFmtId="0" fontId="3" fillId="7" borderId="4" xfId="1" applyFont="1" applyFill="1" applyBorder="1" applyAlignment="1">
      <alignment horizontal="center" vertical="center" wrapText="1"/>
    </xf>
    <xf numFmtId="0" fontId="3" fillId="7" borderId="0" xfId="0" applyFont="1" applyFill="1" applyAlignment="1">
      <alignment horizontal="center" vertical="center" wrapText="1"/>
    </xf>
    <xf numFmtId="165" fontId="3" fillId="7" borderId="0" xfId="0" applyNumberFormat="1" applyFont="1" applyFill="1" applyAlignment="1">
      <alignment horizontal="center" vertical="center" wrapText="1"/>
    </xf>
    <xf numFmtId="165" fontId="2" fillId="7" borderId="1" xfId="2" applyNumberFormat="1" applyFill="1" applyBorder="1" applyAlignment="1">
      <alignment horizontal="center" vertical="center" wrapText="1"/>
    </xf>
    <xf numFmtId="0" fontId="1" fillId="7" borderId="1" xfId="1" applyFill="1" applyBorder="1" applyAlignment="1">
      <alignment horizontal="center" vertical="center" wrapText="1"/>
    </xf>
    <xf numFmtId="165" fontId="1" fillId="7" borderId="1" xfId="1" applyNumberFormat="1" applyFill="1" applyBorder="1" applyAlignment="1">
      <alignment horizontal="center" vertical="center" wrapText="1"/>
    </xf>
    <xf numFmtId="0" fontId="3" fillId="7" borderId="1" xfId="1" applyFont="1" applyFill="1" applyBorder="1" applyAlignment="1" applyProtection="1">
      <alignment horizontal="center" vertical="center" wrapText="1"/>
    </xf>
    <xf numFmtId="0" fontId="4" fillId="7" borderId="2" xfId="3" applyFont="1" applyFill="1" applyAlignment="1" applyProtection="1">
      <alignment horizontal="center" vertical="center" wrapText="1"/>
    </xf>
    <xf numFmtId="0" fontId="2" fillId="7" borderId="1" xfId="2" applyFill="1" applyBorder="1" applyAlignment="1" applyProtection="1">
      <alignment horizontal="center" vertical="center" wrapText="1"/>
    </xf>
    <xf numFmtId="0" fontId="7" fillId="7" borderId="2" xfId="3" applyFont="1" applyFill="1" applyAlignment="1" applyProtection="1">
      <alignment horizontal="center" vertical="center" wrapText="1"/>
    </xf>
  </cellXfs>
  <cellStyles count="4">
    <cellStyle name="Bueno" xfId="1" builtinId="26"/>
    <cellStyle name="Celda de comprobación" xfId="3" builtinId="23"/>
    <cellStyle name="Incorrecto" xfId="2" builtinId="27"/>
    <cellStyle name="Normal" xfId="0" builtinId="0"/>
  </cellStyles>
  <dxfs count="0"/>
  <tableStyles count="0" defaultTableStyle="TableStyleMedium9" defaultPivotStyle="PivotStyleLight16"/>
  <colors>
    <mruColors>
      <color rgb="FFD4D915"/>
      <color rgb="FF99FF66"/>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shopjimmy.com/sharp-lc-46x20e" TargetMode="External"/><Relationship Id="rId2" Type="http://schemas.openxmlformats.org/officeDocument/2006/relationships/hyperlink" Target="http://www.shopjimmy.com/sharp-lc-46d64u" TargetMode="External"/><Relationship Id="rId1" Type="http://schemas.openxmlformats.org/officeDocument/2006/relationships/hyperlink" Target="http://www.shopjimmy.com/sony-kdl-60nx810" TargetMode="External"/><Relationship Id="rId5" Type="http://schemas.openxmlformats.org/officeDocument/2006/relationships/printerSettings" Target="../printerSettings/printerSettings1.bin"/><Relationship Id="rId4" Type="http://schemas.openxmlformats.org/officeDocument/2006/relationships/hyperlink" Target="http://www.shopjimmy.com/sony-ke-42m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1"/>
  <sheetViews>
    <sheetView tabSelected="1" zoomScale="84" zoomScaleNormal="84" workbookViewId="0">
      <selection activeCell="H1" sqref="H1:H1048576"/>
    </sheetView>
  </sheetViews>
  <sheetFormatPr baseColWidth="10" defaultColWidth="11.453125" defaultRowHeight="14.5" x14ac:dyDescent="0.35"/>
  <cols>
    <col min="1" max="1" width="7.81640625" style="7" customWidth="1"/>
    <col min="2" max="2" width="37.90625" style="8" customWidth="1"/>
    <col min="3" max="3" width="30.1796875" style="8" customWidth="1"/>
    <col min="4" max="4" width="28.81640625" style="8" customWidth="1"/>
    <col min="5" max="5" width="3.7265625" style="8" customWidth="1"/>
    <col min="6" max="6" width="15.453125" style="9" customWidth="1"/>
    <col min="7" max="7" width="13.1796875" style="8" bestFit="1" customWidth="1"/>
    <col min="8" max="8" width="11.453125" style="5"/>
    <col min="9" max="9" width="12.54296875" style="5" customWidth="1"/>
    <col min="10" max="10" width="13.1796875" style="6" customWidth="1"/>
    <col min="11" max="11" width="11.453125" style="5"/>
    <col min="12" max="12" width="15" style="6" customWidth="1"/>
    <col min="13" max="16384" width="11.453125" style="5"/>
  </cols>
  <sheetData>
    <row r="1" spans="1:12" s="12" customFormat="1" ht="27.75" customHeight="1" thickBot="1" x14ac:dyDescent="0.4">
      <c r="A1" s="48" t="s">
        <v>161</v>
      </c>
      <c r="B1" s="48" t="s">
        <v>162</v>
      </c>
      <c r="C1" s="48" t="s">
        <v>163</v>
      </c>
      <c r="D1" s="48" t="s">
        <v>164</v>
      </c>
      <c r="E1" s="48" t="s">
        <v>165</v>
      </c>
      <c r="F1" s="49" t="s">
        <v>166</v>
      </c>
      <c r="G1" s="48" t="s">
        <v>186</v>
      </c>
      <c r="H1" s="48" t="s">
        <v>184</v>
      </c>
      <c r="I1" s="48" t="s">
        <v>185</v>
      </c>
      <c r="J1" s="49" t="s">
        <v>236</v>
      </c>
      <c r="K1" s="10"/>
      <c r="L1" s="11"/>
    </row>
    <row r="2" spans="1:12" s="13" customFormat="1" ht="18" customHeight="1" thickTop="1" thickBot="1" x14ac:dyDescent="0.4">
      <c r="A2" s="26">
        <v>17</v>
      </c>
      <c r="B2" s="26" t="s">
        <v>195</v>
      </c>
      <c r="C2" s="26" t="s">
        <v>158</v>
      </c>
      <c r="D2" s="26" t="s">
        <v>196</v>
      </c>
      <c r="E2" s="26">
        <v>1</v>
      </c>
      <c r="F2" s="31">
        <v>60000</v>
      </c>
      <c r="G2" s="26" t="s">
        <v>2</v>
      </c>
      <c r="H2" s="26">
        <v>5</v>
      </c>
      <c r="I2" s="26"/>
      <c r="J2" s="31"/>
      <c r="L2" s="14"/>
    </row>
    <row r="3" spans="1:12" s="13" customFormat="1" ht="16.5" customHeight="1" thickTop="1" thickBot="1" x14ac:dyDescent="0.4">
      <c r="A3" s="26">
        <v>26</v>
      </c>
      <c r="B3" s="26" t="s">
        <v>197</v>
      </c>
      <c r="C3" s="26" t="s">
        <v>158</v>
      </c>
      <c r="D3" s="26" t="s">
        <v>198</v>
      </c>
      <c r="E3" s="26">
        <v>1</v>
      </c>
      <c r="F3" s="31">
        <v>50000</v>
      </c>
      <c r="G3" s="26" t="s">
        <v>2</v>
      </c>
      <c r="H3" s="26">
        <v>4</v>
      </c>
      <c r="I3" s="26"/>
      <c r="J3" s="31"/>
      <c r="L3" s="14"/>
    </row>
    <row r="4" spans="1:12" s="13" customFormat="1" ht="18" customHeight="1" thickTop="1" thickBot="1" x14ac:dyDescent="0.4">
      <c r="A4" s="26">
        <v>28</v>
      </c>
      <c r="B4" s="26" t="s">
        <v>199</v>
      </c>
      <c r="C4" s="26" t="s">
        <v>158</v>
      </c>
      <c r="D4" s="26" t="s">
        <v>200</v>
      </c>
      <c r="E4" s="26">
        <v>1</v>
      </c>
      <c r="F4" s="31">
        <v>50000</v>
      </c>
      <c r="G4" s="26" t="s">
        <v>2</v>
      </c>
      <c r="H4" s="26">
        <v>4</v>
      </c>
      <c r="I4" s="26"/>
      <c r="J4" s="31"/>
      <c r="L4" s="14"/>
    </row>
    <row r="5" spans="1:12" s="13" customFormat="1" ht="18.75" customHeight="1" thickTop="1" thickBot="1" x14ac:dyDescent="0.4">
      <c r="A5" s="26">
        <v>40</v>
      </c>
      <c r="B5" s="26" t="s">
        <v>202</v>
      </c>
      <c r="C5" s="26" t="s">
        <v>4</v>
      </c>
      <c r="D5" s="26" t="s">
        <v>203</v>
      </c>
      <c r="E5" s="26">
        <v>1</v>
      </c>
      <c r="F5" s="31">
        <v>90000</v>
      </c>
      <c r="G5" s="26" t="s">
        <v>2</v>
      </c>
      <c r="H5" s="26">
        <v>1</v>
      </c>
      <c r="I5" s="26"/>
      <c r="J5" s="31"/>
      <c r="L5" s="14"/>
    </row>
    <row r="6" spans="1:12" s="13" customFormat="1" ht="18" customHeight="1" thickTop="1" thickBot="1" x14ac:dyDescent="0.4">
      <c r="A6" s="26">
        <v>43</v>
      </c>
      <c r="B6" s="26" t="s">
        <v>204</v>
      </c>
      <c r="C6" s="26" t="s">
        <v>56</v>
      </c>
      <c r="D6" s="26" t="s">
        <v>586</v>
      </c>
      <c r="E6" s="26">
        <v>1</v>
      </c>
      <c r="F6" s="31">
        <v>50000</v>
      </c>
      <c r="G6" s="26" t="s">
        <v>2</v>
      </c>
      <c r="H6" s="26">
        <v>5</v>
      </c>
      <c r="I6" s="26"/>
      <c r="J6" s="31"/>
      <c r="L6" s="14"/>
    </row>
    <row r="7" spans="1:12" s="13" customFormat="1" ht="18" customHeight="1" thickTop="1" thickBot="1" x14ac:dyDescent="0.4">
      <c r="A7" s="26">
        <v>44</v>
      </c>
      <c r="B7" s="26" t="s">
        <v>205</v>
      </c>
      <c r="C7" s="26" t="s">
        <v>56</v>
      </c>
      <c r="D7" s="26" t="s">
        <v>587</v>
      </c>
      <c r="E7" s="26">
        <v>1</v>
      </c>
      <c r="F7" s="31">
        <v>80000</v>
      </c>
      <c r="G7" s="26" t="s">
        <v>2</v>
      </c>
      <c r="H7" s="26">
        <v>2</v>
      </c>
      <c r="I7" s="26"/>
      <c r="J7" s="31"/>
      <c r="L7" s="14"/>
    </row>
    <row r="8" spans="1:12" s="13" customFormat="1" ht="16.5" customHeight="1" thickTop="1" thickBot="1" x14ac:dyDescent="0.4">
      <c r="A8" s="26">
        <v>46</v>
      </c>
      <c r="B8" s="26" t="s">
        <v>206</v>
      </c>
      <c r="C8" s="26" t="s">
        <v>228</v>
      </c>
      <c r="D8" s="26" t="s">
        <v>207</v>
      </c>
      <c r="E8" s="26">
        <v>1</v>
      </c>
      <c r="F8" s="31">
        <v>50000</v>
      </c>
      <c r="G8" s="26" t="s">
        <v>2</v>
      </c>
      <c r="H8" s="26">
        <v>5</v>
      </c>
      <c r="I8" s="26"/>
      <c r="J8" s="31"/>
      <c r="L8" s="14"/>
    </row>
    <row r="9" spans="1:12" s="13" customFormat="1" ht="17.25" customHeight="1" thickTop="1" thickBot="1" x14ac:dyDescent="0.4">
      <c r="A9" s="26">
        <v>47</v>
      </c>
      <c r="B9" s="26" t="s">
        <v>208</v>
      </c>
      <c r="C9" s="26" t="s">
        <v>158</v>
      </c>
      <c r="D9" s="26" t="s">
        <v>209</v>
      </c>
      <c r="E9" s="26">
        <v>1</v>
      </c>
      <c r="F9" s="31">
        <v>30000</v>
      </c>
      <c r="G9" s="26" t="s">
        <v>2</v>
      </c>
      <c r="H9" s="26">
        <v>7</v>
      </c>
      <c r="I9" s="26"/>
      <c r="J9" s="31"/>
      <c r="L9" s="14"/>
    </row>
    <row r="10" spans="1:12" s="13" customFormat="1" ht="15" customHeight="1" thickTop="1" thickBot="1" x14ac:dyDescent="0.4">
      <c r="A10" s="26">
        <v>48</v>
      </c>
      <c r="B10" s="26" t="s">
        <v>210</v>
      </c>
      <c r="C10" s="26" t="s">
        <v>158</v>
      </c>
      <c r="D10" s="26" t="s">
        <v>211</v>
      </c>
      <c r="E10" s="26">
        <v>2</v>
      </c>
      <c r="F10" s="31">
        <v>30000</v>
      </c>
      <c r="G10" s="26" t="s">
        <v>2</v>
      </c>
      <c r="H10" s="50">
        <v>7</v>
      </c>
      <c r="I10" s="26"/>
      <c r="J10" s="31"/>
      <c r="L10" s="14"/>
    </row>
    <row r="11" spans="1:12" s="13" customFormat="1" ht="18" customHeight="1" thickTop="1" thickBot="1" x14ac:dyDescent="0.4">
      <c r="A11" s="26">
        <v>50</v>
      </c>
      <c r="B11" s="26" t="s">
        <v>212</v>
      </c>
      <c r="C11" s="26" t="s">
        <v>158</v>
      </c>
      <c r="D11" s="26" t="s">
        <v>213</v>
      </c>
      <c r="E11" s="26">
        <v>1</v>
      </c>
      <c r="F11" s="31">
        <v>80000</v>
      </c>
      <c r="G11" s="26" t="s">
        <v>2</v>
      </c>
      <c r="H11" s="26">
        <v>7</v>
      </c>
      <c r="I11" s="26"/>
      <c r="J11" s="31"/>
      <c r="L11" s="14"/>
    </row>
    <row r="12" spans="1:12" s="13" customFormat="1" ht="17" customHeight="1" thickTop="1" thickBot="1" x14ac:dyDescent="0.4">
      <c r="A12" s="26">
        <v>53</v>
      </c>
      <c r="B12" s="26" t="s">
        <v>214</v>
      </c>
      <c r="C12" s="26" t="s">
        <v>158</v>
      </c>
      <c r="D12" s="26" t="s">
        <v>215</v>
      </c>
      <c r="E12" s="26">
        <v>1</v>
      </c>
      <c r="F12" s="31">
        <v>50000</v>
      </c>
      <c r="G12" s="26" t="s">
        <v>2</v>
      </c>
      <c r="H12" s="26">
        <v>4</v>
      </c>
      <c r="I12" s="26"/>
      <c r="J12" s="31"/>
      <c r="L12" s="14"/>
    </row>
    <row r="13" spans="1:12" s="13" customFormat="1" ht="16.5" customHeight="1" thickTop="1" thickBot="1" x14ac:dyDescent="0.4">
      <c r="A13" s="26">
        <v>54</v>
      </c>
      <c r="B13" s="26" t="s">
        <v>216</v>
      </c>
      <c r="C13" s="26" t="s">
        <v>158</v>
      </c>
      <c r="D13" s="26" t="s">
        <v>680</v>
      </c>
      <c r="E13" s="26">
        <v>1</v>
      </c>
      <c r="F13" s="31">
        <v>70000</v>
      </c>
      <c r="G13" s="26" t="s">
        <v>2</v>
      </c>
      <c r="H13" s="26">
        <v>7</v>
      </c>
      <c r="I13" s="26"/>
      <c r="J13" s="31"/>
      <c r="L13" s="14"/>
    </row>
    <row r="14" spans="1:12" s="13" customFormat="1" ht="16.5" customHeight="1" thickTop="1" thickBot="1" x14ac:dyDescent="0.4">
      <c r="A14" s="26">
        <v>55</v>
      </c>
      <c r="B14" s="26" t="s">
        <v>217</v>
      </c>
      <c r="C14" s="26" t="s">
        <v>158</v>
      </c>
      <c r="D14" s="26" t="s">
        <v>680</v>
      </c>
      <c r="E14" s="26">
        <v>1</v>
      </c>
      <c r="F14" s="31">
        <v>70000</v>
      </c>
      <c r="G14" s="26" t="s">
        <v>2</v>
      </c>
      <c r="H14" s="26">
        <v>8</v>
      </c>
      <c r="I14" s="26"/>
      <c r="J14" s="31"/>
      <c r="L14" s="14"/>
    </row>
    <row r="15" spans="1:12" s="30" customFormat="1" ht="15.75" customHeight="1" thickTop="1" thickBot="1" x14ac:dyDescent="0.4">
      <c r="A15" s="20">
        <v>57</v>
      </c>
      <c r="B15" s="51" t="s">
        <v>588</v>
      </c>
      <c r="C15" s="52" t="s">
        <v>229</v>
      </c>
      <c r="D15" s="51" t="s">
        <v>218</v>
      </c>
      <c r="E15" s="20">
        <v>1</v>
      </c>
      <c r="F15" s="53">
        <v>90000</v>
      </c>
      <c r="G15" s="20" t="s">
        <v>2</v>
      </c>
      <c r="H15" s="54">
        <v>3</v>
      </c>
      <c r="I15" s="55"/>
      <c r="J15" s="56"/>
      <c r="L15" s="38"/>
    </row>
    <row r="16" spans="1:12" s="13" customFormat="1" ht="18" customHeight="1" thickTop="1" thickBot="1" x14ac:dyDescent="0.4">
      <c r="A16" s="26">
        <v>61</v>
      </c>
      <c r="B16" s="26" t="s">
        <v>679</v>
      </c>
      <c r="C16" s="26" t="s">
        <v>10</v>
      </c>
      <c r="D16" s="26" t="s">
        <v>219</v>
      </c>
      <c r="E16" s="26">
        <v>1</v>
      </c>
      <c r="F16" s="31">
        <v>70000</v>
      </c>
      <c r="G16" s="26" t="s">
        <v>2</v>
      </c>
      <c r="H16" s="26">
        <v>3</v>
      </c>
      <c r="I16" s="26"/>
      <c r="J16" s="31"/>
      <c r="L16" s="14"/>
    </row>
    <row r="17" spans="1:12" s="13" customFormat="1" ht="15.75" customHeight="1" thickTop="1" thickBot="1" x14ac:dyDescent="0.4">
      <c r="A17" s="26">
        <v>62</v>
      </c>
      <c r="B17" s="26" t="s">
        <v>10</v>
      </c>
      <c r="C17" s="26" t="s">
        <v>10</v>
      </c>
      <c r="D17" s="26" t="s">
        <v>220</v>
      </c>
      <c r="E17" s="26">
        <v>1</v>
      </c>
      <c r="F17" s="31">
        <v>70000</v>
      </c>
      <c r="G17" s="26" t="s">
        <v>2</v>
      </c>
      <c r="H17" s="26">
        <v>3</v>
      </c>
      <c r="I17" s="26"/>
      <c r="J17" s="31"/>
      <c r="L17" s="14"/>
    </row>
    <row r="18" spans="1:12" s="13" customFormat="1" ht="17.25" customHeight="1" thickTop="1" thickBot="1" x14ac:dyDescent="0.4">
      <c r="A18" s="26">
        <v>63</v>
      </c>
      <c r="B18" s="26" t="s">
        <v>10</v>
      </c>
      <c r="C18" s="26" t="s">
        <v>10</v>
      </c>
      <c r="D18" s="26" t="s">
        <v>221</v>
      </c>
      <c r="E18" s="26">
        <v>1</v>
      </c>
      <c r="F18" s="31">
        <v>35000</v>
      </c>
      <c r="G18" s="26" t="s">
        <v>2</v>
      </c>
      <c r="H18" s="26">
        <v>3</v>
      </c>
      <c r="I18" s="26"/>
      <c r="J18" s="31"/>
      <c r="L18" s="14"/>
    </row>
    <row r="19" spans="1:12" s="13" customFormat="1" ht="14.25" customHeight="1" thickTop="1" thickBot="1" x14ac:dyDescent="0.4">
      <c r="A19" s="26">
        <v>64</v>
      </c>
      <c r="B19" s="26" t="s">
        <v>222</v>
      </c>
      <c r="C19" s="26" t="s">
        <v>223</v>
      </c>
      <c r="D19" s="26" t="s">
        <v>224</v>
      </c>
      <c r="E19" s="26">
        <v>1</v>
      </c>
      <c r="F19" s="31">
        <v>80000</v>
      </c>
      <c r="G19" s="26" t="s">
        <v>2</v>
      </c>
      <c r="H19" s="26">
        <v>3</v>
      </c>
      <c r="I19" s="26"/>
      <c r="J19" s="31"/>
      <c r="L19" s="14"/>
    </row>
    <row r="20" spans="1:12" s="13" customFormat="1" ht="16.5" customHeight="1" thickTop="1" thickBot="1" x14ac:dyDescent="0.4">
      <c r="A20" s="26">
        <v>70</v>
      </c>
      <c r="B20" s="26" t="s">
        <v>225</v>
      </c>
      <c r="C20" s="26" t="s">
        <v>417</v>
      </c>
      <c r="D20" s="26" t="s">
        <v>226</v>
      </c>
      <c r="E20" s="26">
        <v>1</v>
      </c>
      <c r="F20" s="31">
        <v>40000</v>
      </c>
      <c r="G20" s="26" t="s">
        <v>2</v>
      </c>
      <c r="H20" s="26">
        <v>3</v>
      </c>
      <c r="I20" s="26"/>
      <c r="J20" s="31"/>
      <c r="L20" s="14"/>
    </row>
    <row r="21" spans="1:12" s="23" customFormat="1" ht="44.5" thickTop="1" thickBot="1" x14ac:dyDescent="0.4">
      <c r="A21" s="26">
        <v>72</v>
      </c>
      <c r="B21" s="26" t="s">
        <v>126</v>
      </c>
      <c r="C21" s="26" t="s">
        <v>0</v>
      </c>
      <c r="D21" s="26" t="s">
        <v>1</v>
      </c>
      <c r="E21" s="26">
        <v>4</v>
      </c>
      <c r="F21" s="31">
        <v>70000</v>
      </c>
      <c r="G21" s="26" t="s">
        <v>131</v>
      </c>
      <c r="H21" s="26">
        <v>9</v>
      </c>
      <c r="I21" s="26"/>
      <c r="J21" s="31">
        <v>50000</v>
      </c>
      <c r="L21" s="32">
        <f>(J21*E21)</f>
        <v>200000</v>
      </c>
    </row>
    <row r="22" spans="1:12" s="23" customFormat="1" ht="59" thickTop="1" thickBot="1" x14ac:dyDescent="0.4">
      <c r="A22" s="26">
        <v>73</v>
      </c>
      <c r="B22" s="26" t="s">
        <v>3</v>
      </c>
      <c r="C22" s="26" t="s">
        <v>4</v>
      </c>
      <c r="D22" s="26" t="s">
        <v>5</v>
      </c>
      <c r="E22" s="26">
        <v>4</v>
      </c>
      <c r="F22" s="31">
        <v>70000</v>
      </c>
      <c r="G22" s="26" t="s">
        <v>131</v>
      </c>
      <c r="H22" s="26">
        <v>9</v>
      </c>
      <c r="I22" s="26"/>
      <c r="J22" s="31">
        <v>50000</v>
      </c>
      <c r="L22" s="32">
        <f>(J22*E22)</f>
        <v>200000</v>
      </c>
    </row>
    <row r="23" spans="1:12" s="23" customFormat="1" ht="30" customHeight="1" thickTop="1" thickBot="1" x14ac:dyDescent="0.4">
      <c r="A23" s="26">
        <v>74</v>
      </c>
      <c r="B23" s="26" t="s">
        <v>682</v>
      </c>
      <c r="C23" s="26" t="s">
        <v>4</v>
      </c>
      <c r="D23" s="26" t="s">
        <v>589</v>
      </c>
      <c r="E23" s="26">
        <v>1</v>
      </c>
      <c r="F23" s="31">
        <v>110000</v>
      </c>
      <c r="G23" s="26" t="s">
        <v>131</v>
      </c>
      <c r="H23" s="26">
        <v>9</v>
      </c>
      <c r="I23" s="26"/>
      <c r="J23" s="31">
        <v>45000</v>
      </c>
      <c r="L23" s="32">
        <f>(J23*E23)</f>
        <v>45000</v>
      </c>
    </row>
    <row r="24" spans="1:12" s="45" customFormat="1" ht="44" thickTop="1" x14ac:dyDescent="0.35">
      <c r="A24" s="20">
        <v>80</v>
      </c>
      <c r="B24" s="20" t="s">
        <v>127</v>
      </c>
      <c r="C24" s="20" t="s">
        <v>6</v>
      </c>
      <c r="D24" s="20" t="s">
        <v>7</v>
      </c>
      <c r="E24" s="20">
        <v>3</v>
      </c>
      <c r="F24" s="21">
        <v>30000</v>
      </c>
      <c r="G24" s="20" t="s">
        <v>131</v>
      </c>
      <c r="H24" s="20">
        <v>12</v>
      </c>
      <c r="I24" s="20"/>
      <c r="J24" s="21">
        <v>50000</v>
      </c>
      <c r="K24" s="15"/>
      <c r="L24" s="17">
        <f>(J24*E24)</f>
        <v>150000</v>
      </c>
    </row>
    <row r="25" spans="1:12" s="45" customFormat="1" ht="43.5" x14ac:dyDescent="0.35">
      <c r="A25" s="20">
        <v>81</v>
      </c>
      <c r="B25" s="20" t="s">
        <v>128</v>
      </c>
      <c r="C25" s="20" t="s">
        <v>8</v>
      </c>
      <c r="D25" s="20" t="s">
        <v>9</v>
      </c>
      <c r="E25" s="20">
        <v>4</v>
      </c>
      <c r="F25" s="21">
        <v>50000</v>
      </c>
      <c r="G25" s="20" t="s">
        <v>131</v>
      </c>
      <c r="H25" s="20">
        <v>12</v>
      </c>
      <c r="I25" s="20"/>
      <c r="J25" s="21">
        <v>15000</v>
      </c>
      <c r="K25" s="15"/>
      <c r="L25" s="17">
        <f>(J25*E25)</f>
        <v>60000</v>
      </c>
    </row>
    <row r="26" spans="1:12" s="45" customFormat="1" ht="58.5" thickBot="1" x14ac:dyDescent="0.4">
      <c r="A26" s="20">
        <v>82</v>
      </c>
      <c r="B26" s="51" t="s">
        <v>591</v>
      </c>
      <c r="C26" s="51" t="s">
        <v>10</v>
      </c>
      <c r="D26" s="51" t="s">
        <v>590</v>
      </c>
      <c r="E26" s="51">
        <v>1</v>
      </c>
      <c r="F26" s="57">
        <v>120000</v>
      </c>
      <c r="G26" s="20" t="s">
        <v>131</v>
      </c>
      <c r="H26" s="20">
        <v>12</v>
      </c>
      <c r="I26" s="20"/>
      <c r="J26" s="21">
        <v>50000</v>
      </c>
      <c r="K26" s="15"/>
      <c r="L26" s="17">
        <f>(J26*E26)</f>
        <v>50000</v>
      </c>
    </row>
    <row r="27" spans="1:12" s="13" customFormat="1" ht="44.5" thickTop="1" thickBot="1" x14ac:dyDescent="0.4">
      <c r="A27" s="26">
        <v>83</v>
      </c>
      <c r="B27" s="26" t="s">
        <v>129</v>
      </c>
      <c r="C27" s="26" t="s">
        <v>11</v>
      </c>
      <c r="D27" s="26" t="s">
        <v>9</v>
      </c>
      <c r="E27" s="26">
        <v>3</v>
      </c>
      <c r="F27" s="31">
        <v>50000</v>
      </c>
      <c r="G27" s="26" t="s">
        <v>131</v>
      </c>
      <c r="H27" s="26">
        <v>14</v>
      </c>
      <c r="I27" s="26"/>
      <c r="J27" s="31">
        <v>50000</v>
      </c>
      <c r="L27" s="32">
        <f>(J27*E27)</f>
        <v>150000</v>
      </c>
    </row>
    <row r="28" spans="1:12" s="45" customFormat="1" ht="15" thickTop="1" x14ac:dyDescent="0.35">
      <c r="A28" s="20">
        <v>84</v>
      </c>
      <c r="B28" s="20" t="s">
        <v>12</v>
      </c>
      <c r="C28" s="20" t="s">
        <v>13</v>
      </c>
      <c r="D28" s="20" t="s">
        <v>592</v>
      </c>
      <c r="E28" s="20">
        <v>1</v>
      </c>
      <c r="F28" s="21">
        <v>50000</v>
      </c>
      <c r="G28" s="20" t="s">
        <v>131</v>
      </c>
      <c r="H28" s="20">
        <v>12</v>
      </c>
      <c r="I28" s="20"/>
      <c r="J28" s="21">
        <v>30000</v>
      </c>
      <c r="K28" s="15"/>
      <c r="L28" s="17">
        <f>(J28*E28)</f>
        <v>30000</v>
      </c>
    </row>
    <row r="29" spans="1:12" s="45" customFormat="1" ht="29.5" thickBot="1" x14ac:dyDescent="0.4">
      <c r="A29" s="20">
        <v>85</v>
      </c>
      <c r="B29" s="20" t="s">
        <v>593</v>
      </c>
      <c r="C29" s="20" t="s">
        <v>14</v>
      </c>
      <c r="D29" s="20" t="s">
        <v>594</v>
      </c>
      <c r="E29" s="20">
        <v>1</v>
      </c>
      <c r="F29" s="21">
        <v>50000</v>
      </c>
      <c r="G29" s="20" t="s">
        <v>131</v>
      </c>
      <c r="H29" s="20">
        <v>12</v>
      </c>
      <c r="I29" s="20"/>
      <c r="J29" s="21">
        <v>30000</v>
      </c>
      <c r="K29" s="15"/>
      <c r="L29" s="17">
        <f>(J29*E29)</f>
        <v>30000</v>
      </c>
    </row>
    <row r="30" spans="1:12" s="13" customFormat="1" ht="44.5" thickTop="1" thickBot="1" x14ac:dyDescent="0.4">
      <c r="A30" s="26">
        <v>86</v>
      </c>
      <c r="B30" s="26" t="s">
        <v>145</v>
      </c>
      <c r="C30" s="26" t="s">
        <v>15</v>
      </c>
      <c r="D30" s="26" t="s">
        <v>9</v>
      </c>
      <c r="E30" s="26">
        <v>2</v>
      </c>
      <c r="F30" s="31">
        <v>70000</v>
      </c>
      <c r="G30" s="26" t="s">
        <v>131</v>
      </c>
      <c r="H30" s="26">
        <v>13</v>
      </c>
      <c r="I30" s="26"/>
      <c r="J30" s="31">
        <v>50000</v>
      </c>
      <c r="L30" s="32">
        <f>(J30*E30)</f>
        <v>100000</v>
      </c>
    </row>
    <row r="31" spans="1:12" s="13" customFormat="1" ht="59" thickTop="1" thickBot="1" x14ac:dyDescent="0.4">
      <c r="A31" s="26">
        <v>88</v>
      </c>
      <c r="B31" s="26" t="s">
        <v>16</v>
      </c>
      <c r="C31" s="26" t="s">
        <v>18</v>
      </c>
      <c r="D31" s="26" t="s">
        <v>17</v>
      </c>
      <c r="E31" s="26">
        <v>1</v>
      </c>
      <c r="F31" s="31">
        <v>120000</v>
      </c>
      <c r="G31" s="26" t="s">
        <v>131</v>
      </c>
      <c r="H31" s="26">
        <v>10</v>
      </c>
      <c r="I31" s="26"/>
      <c r="J31" s="31">
        <v>50000</v>
      </c>
      <c r="L31" s="32">
        <f>(J31*E31)</f>
        <v>50000</v>
      </c>
    </row>
    <row r="32" spans="1:12" s="37" customFormat="1" ht="15" thickTop="1" x14ac:dyDescent="0.35">
      <c r="A32" s="51">
        <v>89</v>
      </c>
      <c r="B32" s="51" t="s">
        <v>595</v>
      </c>
      <c r="C32" s="51" t="s">
        <v>18</v>
      </c>
      <c r="D32" s="51" t="s">
        <v>19</v>
      </c>
      <c r="E32" s="51">
        <v>1</v>
      </c>
      <c r="F32" s="57">
        <v>160000</v>
      </c>
      <c r="G32" s="51" t="s">
        <v>131</v>
      </c>
      <c r="H32" s="51">
        <v>10</v>
      </c>
      <c r="I32" s="51"/>
      <c r="J32" s="57">
        <v>50000</v>
      </c>
      <c r="K32" s="18"/>
      <c r="L32" s="19">
        <f>(J32*E32)</f>
        <v>50000</v>
      </c>
    </row>
    <row r="33" spans="1:12" s="43" customFormat="1" x14ac:dyDescent="0.35">
      <c r="A33" s="58">
        <v>90</v>
      </c>
      <c r="B33" s="58" t="s">
        <v>670</v>
      </c>
      <c r="C33" s="58" t="s">
        <v>18</v>
      </c>
      <c r="D33" s="58" t="s">
        <v>20</v>
      </c>
      <c r="E33" s="58">
        <v>1</v>
      </c>
      <c r="F33" s="59">
        <v>120000</v>
      </c>
      <c r="G33" s="58" t="s">
        <v>131</v>
      </c>
      <c r="H33" s="58">
        <v>21</v>
      </c>
      <c r="I33" s="58"/>
      <c r="J33" s="59">
        <v>50000</v>
      </c>
      <c r="K33" s="24"/>
      <c r="L33" s="39">
        <f>(J33*E33)</f>
        <v>50000</v>
      </c>
    </row>
    <row r="34" spans="1:12" s="45" customFormat="1" x14ac:dyDescent="0.35">
      <c r="A34" s="20">
        <v>92</v>
      </c>
      <c r="B34" s="20" t="s">
        <v>21</v>
      </c>
      <c r="C34" s="20" t="s">
        <v>22</v>
      </c>
      <c r="D34" s="20" t="s">
        <v>23</v>
      </c>
      <c r="E34" s="20">
        <v>1</v>
      </c>
      <c r="F34" s="21">
        <v>55000</v>
      </c>
      <c r="G34" s="20" t="s">
        <v>131</v>
      </c>
      <c r="H34" s="20">
        <v>12</v>
      </c>
      <c r="I34" s="20"/>
      <c r="J34" s="21">
        <v>50000</v>
      </c>
      <c r="K34" s="15"/>
      <c r="L34" s="17">
        <f>(J34*E34)</f>
        <v>50000</v>
      </c>
    </row>
    <row r="35" spans="1:12" s="45" customFormat="1" ht="29.5" thickBot="1" x14ac:dyDescent="0.4">
      <c r="A35" s="20">
        <v>93</v>
      </c>
      <c r="B35" s="20" t="s">
        <v>24</v>
      </c>
      <c r="C35" s="20" t="s">
        <v>25</v>
      </c>
      <c r="D35" s="20" t="s">
        <v>507</v>
      </c>
      <c r="E35" s="20">
        <v>1</v>
      </c>
      <c r="F35" s="21">
        <v>70000</v>
      </c>
      <c r="G35" s="20" t="s">
        <v>131</v>
      </c>
      <c r="H35" s="20">
        <v>12</v>
      </c>
      <c r="I35" s="20"/>
      <c r="J35" s="21">
        <v>40000</v>
      </c>
      <c r="K35" s="15"/>
      <c r="L35" s="17">
        <f>(J35*E35)</f>
        <v>40000</v>
      </c>
    </row>
    <row r="36" spans="1:12" s="13" customFormat="1" ht="44.5" thickTop="1" thickBot="1" x14ac:dyDescent="0.4">
      <c r="A36" s="26">
        <v>98</v>
      </c>
      <c r="B36" s="26" t="s">
        <v>26</v>
      </c>
      <c r="C36" s="26" t="s">
        <v>227</v>
      </c>
      <c r="D36" s="26" t="s">
        <v>130</v>
      </c>
      <c r="E36" s="26">
        <v>1</v>
      </c>
      <c r="F36" s="31">
        <v>50000</v>
      </c>
      <c r="G36" s="26" t="s">
        <v>131</v>
      </c>
      <c r="H36" s="26">
        <v>14</v>
      </c>
      <c r="I36" s="26"/>
      <c r="J36" s="31">
        <v>50000</v>
      </c>
      <c r="L36" s="32">
        <f>(J36*E36)</f>
        <v>50000</v>
      </c>
    </row>
    <row r="37" spans="1:12" s="13" customFormat="1" ht="15.75" customHeight="1" thickTop="1" thickBot="1" x14ac:dyDescent="0.4">
      <c r="A37" s="26">
        <v>100</v>
      </c>
      <c r="B37" s="26" t="s">
        <v>27</v>
      </c>
      <c r="C37" s="26" t="s">
        <v>28</v>
      </c>
      <c r="D37" s="26" t="s">
        <v>29</v>
      </c>
      <c r="E37" s="26">
        <v>1</v>
      </c>
      <c r="F37" s="31">
        <v>60000</v>
      </c>
      <c r="G37" s="26" t="s">
        <v>131</v>
      </c>
      <c r="H37" s="26" t="s">
        <v>712</v>
      </c>
      <c r="I37" s="26"/>
      <c r="J37" s="31">
        <v>30000</v>
      </c>
      <c r="L37" s="32">
        <f>(J37*E37)</f>
        <v>30000</v>
      </c>
    </row>
    <row r="38" spans="1:12" s="23" customFormat="1" ht="204" thickTop="1" thickBot="1" x14ac:dyDescent="0.4">
      <c r="A38" s="26">
        <v>101</v>
      </c>
      <c r="B38" s="26" t="s">
        <v>34</v>
      </c>
      <c r="C38" s="26" t="s">
        <v>56</v>
      </c>
      <c r="D38" s="26" t="s">
        <v>35</v>
      </c>
      <c r="E38" s="26">
        <v>1</v>
      </c>
      <c r="F38" s="31">
        <v>90000</v>
      </c>
      <c r="G38" s="26" t="s">
        <v>131</v>
      </c>
      <c r="H38" s="26">
        <v>13</v>
      </c>
      <c r="I38" s="26"/>
      <c r="J38" s="31">
        <v>50000</v>
      </c>
      <c r="L38" s="32">
        <f>(J38*E38)</f>
        <v>50000</v>
      </c>
    </row>
    <row r="39" spans="1:12" s="23" customFormat="1" ht="59" thickTop="1" thickBot="1" x14ac:dyDescent="0.4">
      <c r="A39" s="26">
        <v>103</v>
      </c>
      <c r="B39" s="26" t="s">
        <v>36</v>
      </c>
      <c r="C39" s="26" t="s">
        <v>18</v>
      </c>
      <c r="D39" s="26" t="s">
        <v>596</v>
      </c>
      <c r="E39" s="26">
        <v>1</v>
      </c>
      <c r="F39" s="31">
        <v>100000</v>
      </c>
      <c r="G39" s="26" t="s">
        <v>131</v>
      </c>
      <c r="H39" s="26" t="s">
        <v>712</v>
      </c>
      <c r="I39" s="26"/>
      <c r="J39" s="31">
        <v>50000</v>
      </c>
      <c r="L39" s="32">
        <f>(J39*E39)</f>
        <v>50000</v>
      </c>
    </row>
    <row r="40" spans="1:12" s="23" customFormat="1" ht="15.5" thickTop="1" thickBot="1" x14ac:dyDescent="0.4">
      <c r="A40" s="26">
        <v>105</v>
      </c>
      <c r="B40" s="26" t="s">
        <v>37</v>
      </c>
      <c r="C40" s="26" t="s">
        <v>39</v>
      </c>
      <c r="D40" s="26" t="s">
        <v>38</v>
      </c>
      <c r="E40" s="26">
        <v>1</v>
      </c>
      <c r="F40" s="31" t="s">
        <v>31</v>
      </c>
      <c r="G40" s="26" t="s">
        <v>131</v>
      </c>
      <c r="H40" s="26" t="s">
        <v>712</v>
      </c>
      <c r="I40" s="26"/>
      <c r="J40" s="31">
        <v>30000</v>
      </c>
      <c r="L40" s="32">
        <f>(J40*E40)</f>
        <v>30000</v>
      </c>
    </row>
    <row r="41" spans="1:12" s="23" customFormat="1" ht="15.5" thickTop="1" thickBot="1" x14ac:dyDescent="0.4">
      <c r="A41" s="26">
        <v>111</v>
      </c>
      <c r="B41" s="26" t="s">
        <v>42</v>
      </c>
      <c r="C41" s="26" t="s">
        <v>56</v>
      </c>
      <c r="D41" s="26" t="s">
        <v>51</v>
      </c>
      <c r="E41" s="26">
        <v>1</v>
      </c>
      <c r="F41" s="31">
        <v>80000</v>
      </c>
      <c r="G41" s="26" t="s">
        <v>131</v>
      </c>
      <c r="H41" s="26" t="s">
        <v>712</v>
      </c>
      <c r="I41" s="26"/>
      <c r="J41" s="31">
        <v>40000</v>
      </c>
      <c r="L41" s="32">
        <f>(J41*E41)</f>
        <v>40000</v>
      </c>
    </row>
    <row r="42" spans="1:12" s="23" customFormat="1" ht="15.5" thickTop="1" thickBot="1" x14ac:dyDescent="0.4">
      <c r="A42" s="26">
        <v>112</v>
      </c>
      <c r="B42" s="26" t="s">
        <v>52</v>
      </c>
      <c r="C42" s="26" t="s">
        <v>56</v>
      </c>
      <c r="D42" s="26" t="s">
        <v>53</v>
      </c>
      <c r="E42" s="26">
        <v>1</v>
      </c>
      <c r="F42" s="31">
        <v>70000</v>
      </c>
      <c r="G42" s="26" t="s">
        <v>131</v>
      </c>
      <c r="H42" s="26" t="s">
        <v>712</v>
      </c>
      <c r="I42" s="26"/>
      <c r="J42" s="31">
        <v>35000</v>
      </c>
      <c r="L42" s="32">
        <f>(J42*E42)</f>
        <v>35000</v>
      </c>
    </row>
    <row r="43" spans="1:12" s="23" customFormat="1" ht="15.5" thickTop="1" thickBot="1" x14ac:dyDescent="0.4">
      <c r="A43" s="26">
        <v>113</v>
      </c>
      <c r="B43" s="26" t="s">
        <v>43</v>
      </c>
      <c r="C43" s="26" t="s">
        <v>18</v>
      </c>
      <c r="D43" s="26" t="s">
        <v>44</v>
      </c>
      <c r="E43" s="26">
        <v>1</v>
      </c>
      <c r="F43" s="31">
        <v>140000</v>
      </c>
      <c r="G43" s="26" t="s">
        <v>131</v>
      </c>
      <c r="H43" s="26">
        <v>10</v>
      </c>
      <c r="I43" s="26">
        <v>25</v>
      </c>
      <c r="J43" s="31">
        <v>50000</v>
      </c>
      <c r="L43" s="32">
        <f>(J43*E43)</f>
        <v>50000</v>
      </c>
    </row>
    <row r="44" spans="1:12" s="41" customFormat="1" ht="15.5" thickTop="1" thickBot="1" x14ac:dyDescent="0.4">
      <c r="A44" s="20">
        <v>116</v>
      </c>
      <c r="B44" s="20" t="s">
        <v>45</v>
      </c>
      <c r="C44" s="20" t="s">
        <v>28</v>
      </c>
      <c r="D44" s="20" t="s">
        <v>46</v>
      </c>
      <c r="E44" s="20">
        <v>1</v>
      </c>
      <c r="F44" s="21">
        <v>100000</v>
      </c>
      <c r="G44" s="20" t="s">
        <v>131</v>
      </c>
      <c r="H44" s="20">
        <v>11</v>
      </c>
      <c r="I44" s="20"/>
      <c r="J44" s="21">
        <v>50000</v>
      </c>
      <c r="K44" s="22"/>
      <c r="L44" s="17">
        <f>(J44*E44)</f>
        <v>50000</v>
      </c>
    </row>
    <row r="45" spans="1:12" s="23" customFormat="1" ht="30" thickTop="1" thickBot="1" x14ac:dyDescent="0.4">
      <c r="A45" s="26">
        <v>117</v>
      </c>
      <c r="B45" s="26" t="s">
        <v>47</v>
      </c>
      <c r="C45" s="26" t="s">
        <v>56</v>
      </c>
      <c r="D45" s="26" t="s">
        <v>48</v>
      </c>
      <c r="E45" s="26">
        <v>1</v>
      </c>
      <c r="F45" s="31">
        <v>80000</v>
      </c>
      <c r="G45" s="26" t="s">
        <v>131</v>
      </c>
      <c r="H45" s="26">
        <v>19</v>
      </c>
      <c r="I45" s="26"/>
      <c r="J45" s="31">
        <v>50000</v>
      </c>
      <c r="L45" s="32">
        <f>(J45*E45)</f>
        <v>50000</v>
      </c>
    </row>
    <row r="46" spans="1:12" s="23" customFormat="1" ht="15.5" thickTop="1" thickBot="1" x14ac:dyDescent="0.4">
      <c r="A46" s="26">
        <v>120</v>
      </c>
      <c r="B46" s="26" t="s">
        <v>40</v>
      </c>
      <c r="C46" s="26" t="s">
        <v>4</v>
      </c>
      <c r="D46" s="26" t="s">
        <v>41</v>
      </c>
      <c r="E46" s="26">
        <v>1</v>
      </c>
      <c r="F46" s="31">
        <v>80000</v>
      </c>
      <c r="G46" s="26" t="s">
        <v>131</v>
      </c>
      <c r="H46" s="26">
        <v>13</v>
      </c>
      <c r="I46" s="26"/>
      <c r="J46" s="31">
        <v>50000</v>
      </c>
      <c r="L46" s="32">
        <f>(J46*E46)</f>
        <v>50000</v>
      </c>
    </row>
    <row r="47" spans="1:12" s="23" customFormat="1" ht="15.5" thickTop="1" thickBot="1" x14ac:dyDescent="0.4">
      <c r="A47" s="26">
        <v>122</v>
      </c>
      <c r="B47" s="26" t="s">
        <v>50</v>
      </c>
      <c r="C47" s="26" t="s">
        <v>28</v>
      </c>
      <c r="D47" s="26" t="s">
        <v>49</v>
      </c>
      <c r="E47" s="26">
        <v>1</v>
      </c>
      <c r="F47" s="31">
        <v>80000</v>
      </c>
      <c r="G47" s="26" t="s">
        <v>131</v>
      </c>
      <c r="H47" s="26">
        <v>3</v>
      </c>
      <c r="I47" s="26"/>
      <c r="J47" s="31">
        <v>50000</v>
      </c>
      <c r="L47" s="32">
        <f>(J47*E47)</f>
        <v>50000</v>
      </c>
    </row>
    <row r="48" spans="1:12" s="23" customFormat="1" ht="30" thickTop="1" thickBot="1" x14ac:dyDescent="0.4">
      <c r="A48" s="26">
        <v>127</v>
      </c>
      <c r="B48" s="26" t="s">
        <v>179</v>
      </c>
      <c r="C48" s="26" t="s">
        <v>4</v>
      </c>
      <c r="D48" s="26" t="s">
        <v>54</v>
      </c>
      <c r="E48" s="26">
        <v>1</v>
      </c>
      <c r="F48" s="31">
        <v>90000</v>
      </c>
      <c r="G48" s="26" t="s">
        <v>131</v>
      </c>
      <c r="H48" s="26" t="s">
        <v>712</v>
      </c>
      <c r="I48" s="26"/>
      <c r="J48" s="31">
        <v>50000</v>
      </c>
      <c r="L48" s="32">
        <f>(J48*E48)</f>
        <v>50000</v>
      </c>
    </row>
    <row r="49" spans="1:12" s="23" customFormat="1" ht="15.5" thickTop="1" thickBot="1" x14ac:dyDescent="0.4">
      <c r="A49" s="26">
        <v>130</v>
      </c>
      <c r="B49" s="26" t="s">
        <v>57</v>
      </c>
      <c r="C49" s="26" t="s">
        <v>4</v>
      </c>
      <c r="D49" s="26" t="s">
        <v>567</v>
      </c>
      <c r="E49" s="26">
        <v>1</v>
      </c>
      <c r="F49" s="31">
        <v>80000</v>
      </c>
      <c r="G49" s="26" t="s">
        <v>131</v>
      </c>
      <c r="H49" s="26">
        <v>25</v>
      </c>
      <c r="I49" s="26"/>
      <c r="J49" s="31">
        <v>50000</v>
      </c>
      <c r="L49" s="32">
        <f>(J49*E49)</f>
        <v>50000</v>
      </c>
    </row>
    <row r="50" spans="1:12" s="41" customFormat="1" ht="102.5" thickTop="1" thickBot="1" x14ac:dyDescent="0.4">
      <c r="A50" s="20">
        <v>133</v>
      </c>
      <c r="B50" s="20" t="s">
        <v>59</v>
      </c>
      <c r="C50" s="20" t="s">
        <v>28</v>
      </c>
      <c r="D50" s="20" t="s">
        <v>60</v>
      </c>
      <c r="E50" s="20">
        <v>1</v>
      </c>
      <c r="F50" s="21" t="s">
        <v>32</v>
      </c>
      <c r="G50" s="20" t="s">
        <v>131</v>
      </c>
      <c r="H50" s="20" t="s">
        <v>712</v>
      </c>
      <c r="I50" s="20"/>
      <c r="J50" s="21">
        <v>40000</v>
      </c>
      <c r="K50" s="22"/>
      <c r="L50" s="17">
        <f>(J50*E50)</f>
        <v>40000</v>
      </c>
    </row>
    <row r="51" spans="1:12" s="23" customFormat="1" ht="88" thickTop="1" thickBot="1" x14ac:dyDescent="0.4">
      <c r="A51" s="26">
        <v>140</v>
      </c>
      <c r="B51" s="26" t="s">
        <v>61</v>
      </c>
      <c r="C51" s="26" t="s">
        <v>58</v>
      </c>
      <c r="D51" s="26" t="s">
        <v>597</v>
      </c>
      <c r="E51" s="26">
        <v>1</v>
      </c>
      <c r="F51" s="31">
        <v>50000</v>
      </c>
      <c r="G51" s="26" t="s">
        <v>131</v>
      </c>
      <c r="H51" s="26" t="s">
        <v>712</v>
      </c>
      <c r="I51" s="26"/>
      <c r="J51" s="31">
        <v>50000</v>
      </c>
      <c r="L51" s="32">
        <f>(J51*E51)</f>
        <v>50000</v>
      </c>
    </row>
    <row r="52" spans="1:12" s="23" customFormat="1" ht="15.5" thickTop="1" thickBot="1" x14ac:dyDescent="0.4">
      <c r="A52" s="26">
        <v>141</v>
      </c>
      <c r="B52" s="26" t="s">
        <v>201</v>
      </c>
      <c r="C52" s="26" t="s">
        <v>4</v>
      </c>
      <c r="D52" s="26" t="s">
        <v>678</v>
      </c>
      <c r="E52" s="26">
        <v>1</v>
      </c>
      <c r="F52" s="31">
        <v>70000</v>
      </c>
      <c r="G52" s="26" t="s">
        <v>131</v>
      </c>
      <c r="H52" s="26">
        <v>3</v>
      </c>
      <c r="I52" s="26"/>
      <c r="J52" s="31">
        <v>40000</v>
      </c>
      <c r="L52" s="32">
        <f>(J52*E52)</f>
        <v>40000</v>
      </c>
    </row>
    <row r="53" spans="1:12" s="23" customFormat="1" ht="88" thickTop="1" thickBot="1" x14ac:dyDescent="0.4">
      <c r="A53" s="26">
        <v>142</v>
      </c>
      <c r="B53" s="26" t="s">
        <v>62</v>
      </c>
      <c r="C53" s="26" t="s">
        <v>4</v>
      </c>
      <c r="D53" s="26" t="s">
        <v>63</v>
      </c>
      <c r="E53" s="26">
        <v>1</v>
      </c>
      <c r="F53" s="31">
        <v>50000</v>
      </c>
      <c r="G53" s="26" t="s">
        <v>131</v>
      </c>
      <c r="H53" s="26" t="s">
        <v>712</v>
      </c>
      <c r="I53" s="26"/>
      <c r="J53" s="31">
        <v>50000</v>
      </c>
      <c r="L53" s="32">
        <f>(J53*E53)</f>
        <v>50000</v>
      </c>
    </row>
    <row r="54" spans="1:12" s="41" customFormat="1" ht="30" thickTop="1" thickBot="1" x14ac:dyDescent="0.4">
      <c r="A54" s="20">
        <v>145</v>
      </c>
      <c r="B54" s="20" t="s">
        <v>65</v>
      </c>
      <c r="C54" s="20" t="s">
        <v>28</v>
      </c>
      <c r="D54" s="20" t="s">
        <v>64</v>
      </c>
      <c r="E54" s="20">
        <v>2</v>
      </c>
      <c r="F54" s="21">
        <v>100000</v>
      </c>
      <c r="G54" s="20" t="s">
        <v>131</v>
      </c>
      <c r="H54" s="20">
        <v>16</v>
      </c>
      <c r="I54" s="20"/>
      <c r="J54" s="21">
        <v>50000</v>
      </c>
      <c r="K54" s="22"/>
      <c r="L54" s="17">
        <f>(J54*E54)</f>
        <v>100000</v>
      </c>
    </row>
    <row r="55" spans="1:12" s="23" customFormat="1" ht="44.5" thickTop="1" thickBot="1" x14ac:dyDescent="0.4">
      <c r="A55" s="26">
        <v>146</v>
      </c>
      <c r="B55" s="26" t="s">
        <v>67</v>
      </c>
      <c r="C55" s="26" t="s">
        <v>0</v>
      </c>
      <c r="D55" s="26" t="s">
        <v>66</v>
      </c>
      <c r="E55" s="26">
        <v>1</v>
      </c>
      <c r="F55" s="31">
        <v>100000</v>
      </c>
      <c r="G55" s="26" t="s">
        <v>131</v>
      </c>
      <c r="H55" s="26">
        <v>20</v>
      </c>
      <c r="I55" s="26"/>
      <c r="J55" s="31">
        <v>50000</v>
      </c>
      <c r="L55" s="32">
        <f>(J55*E55)</f>
        <v>50000</v>
      </c>
    </row>
    <row r="56" spans="1:12" s="23" customFormat="1" ht="189.5" thickTop="1" thickBot="1" x14ac:dyDescent="0.4">
      <c r="A56" s="26">
        <v>147</v>
      </c>
      <c r="B56" s="26" t="s">
        <v>68</v>
      </c>
      <c r="C56" s="26" t="s">
        <v>4</v>
      </c>
      <c r="D56" s="26" t="s">
        <v>69</v>
      </c>
      <c r="E56" s="26">
        <v>1</v>
      </c>
      <c r="F56" s="31">
        <v>60000</v>
      </c>
      <c r="G56" s="26" t="s">
        <v>131</v>
      </c>
      <c r="H56" s="26">
        <v>25</v>
      </c>
      <c r="I56" s="26"/>
      <c r="J56" s="31">
        <v>40000</v>
      </c>
      <c r="L56" s="32">
        <f>(J56*E56)</f>
        <v>40000</v>
      </c>
    </row>
    <row r="57" spans="1:12" s="23" customFormat="1" ht="15.5" thickTop="1" thickBot="1" x14ac:dyDescent="0.4">
      <c r="A57" s="26">
        <v>148</v>
      </c>
      <c r="B57" s="26" t="s">
        <v>70</v>
      </c>
      <c r="C57" s="26" t="s">
        <v>28</v>
      </c>
      <c r="D57" s="26" t="s">
        <v>71</v>
      </c>
      <c r="E57" s="26">
        <v>1</v>
      </c>
      <c r="F57" s="31">
        <v>100000</v>
      </c>
      <c r="G57" s="26" t="s">
        <v>131</v>
      </c>
      <c r="H57" s="26">
        <v>15</v>
      </c>
      <c r="I57" s="26"/>
      <c r="J57" s="31">
        <v>50000</v>
      </c>
      <c r="L57" s="32">
        <f>(J57*E57)</f>
        <v>50000</v>
      </c>
    </row>
    <row r="58" spans="1:12" s="23" customFormat="1" ht="15.5" thickTop="1" thickBot="1" x14ac:dyDescent="0.4">
      <c r="A58" s="26">
        <v>149</v>
      </c>
      <c r="B58" s="26" t="s">
        <v>72</v>
      </c>
      <c r="C58" s="26" t="s">
        <v>39</v>
      </c>
      <c r="D58" s="26" t="s">
        <v>73</v>
      </c>
      <c r="E58" s="26">
        <v>2</v>
      </c>
      <c r="F58" s="31">
        <v>50000</v>
      </c>
      <c r="G58" s="26" t="s">
        <v>131</v>
      </c>
      <c r="H58" s="26" t="s">
        <v>712</v>
      </c>
      <c r="I58" s="26"/>
      <c r="J58" s="31">
        <v>30000</v>
      </c>
      <c r="L58" s="32">
        <f>(J58*E58)</f>
        <v>60000</v>
      </c>
    </row>
    <row r="59" spans="1:12" s="23" customFormat="1" ht="15.5" thickTop="1" thickBot="1" x14ac:dyDescent="0.4">
      <c r="A59" s="26">
        <v>151</v>
      </c>
      <c r="B59" s="26" t="s">
        <v>75</v>
      </c>
      <c r="C59" s="26" t="s">
        <v>39</v>
      </c>
      <c r="D59" s="26" t="s">
        <v>74</v>
      </c>
      <c r="E59" s="26">
        <v>1</v>
      </c>
      <c r="F59" s="31" t="s">
        <v>31</v>
      </c>
      <c r="G59" s="26" t="s">
        <v>131</v>
      </c>
      <c r="H59" s="26" t="s">
        <v>712</v>
      </c>
      <c r="I59" s="26"/>
      <c r="J59" s="31">
        <v>30000</v>
      </c>
      <c r="L59" s="32">
        <f>(J59*E59)</f>
        <v>30000</v>
      </c>
    </row>
    <row r="60" spans="1:12" s="23" customFormat="1" ht="15.5" thickTop="1" thickBot="1" x14ac:dyDescent="0.4">
      <c r="A60" s="26">
        <v>152</v>
      </c>
      <c r="B60" s="26" t="s">
        <v>76</v>
      </c>
      <c r="C60" s="26" t="s">
        <v>78</v>
      </c>
      <c r="D60" s="26" t="s">
        <v>77</v>
      </c>
      <c r="E60" s="26">
        <v>1</v>
      </c>
      <c r="F60" s="31" t="s">
        <v>55</v>
      </c>
      <c r="G60" s="26" t="s">
        <v>131</v>
      </c>
      <c r="H60" s="26">
        <v>19</v>
      </c>
      <c r="I60" s="26"/>
      <c r="J60" s="31">
        <v>50000</v>
      </c>
      <c r="L60" s="32">
        <f>(J60*E60)</f>
        <v>50000</v>
      </c>
    </row>
    <row r="61" spans="1:12" s="23" customFormat="1" ht="409.6" thickTop="1" thickBot="1" x14ac:dyDescent="0.4">
      <c r="A61" s="26">
        <v>154</v>
      </c>
      <c r="B61" s="26" t="s">
        <v>79</v>
      </c>
      <c r="C61" s="26" t="s">
        <v>58</v>
      </c>
      <c r="D61" s="26" t="s">
        <v>598</v>
      </c>
      <c r="E61" s="26">
        <v>1</v>
      </c>
      <c r="F61" s="31">
        <v>60000</v>
      </c>
      <c r="G61" s="26" t="s">
        <v>131</v>
      </c>
      <c r="H61" s="26">
        <v>14</v>
      </c>
      <c r="I61" s="26"/>
      <c r="J61" s="31">
        <v>50000</v>
      </c>
      <c r="L61" s="32">
        <f>(J61*E61)</f>
        <v>50000</v>
      </c>
    </row>
    <row r="62" spans="1:12" s="23" customFormat="1" ht="15.5" thickTop="1" thickBot="1" x14ac:dyDescent="0.4">
      <c r="A62" s="26">
        <v>155</v>
      </c>
      <c r="B62" s="26" t="s">
        <v>80</v>
      </c>
      <c r="C62" s="26" t="s">
        <v>56</v>
      </c>
      <c r="D62" s="26" t="s">
        <v>81</v>
      </c>
      <c r="E62" s="26">
        <v>1</v>
      </c>
      <c r="F62" s="31">
        <v>50000</v>
      </c>
      <c r="G62" s="26" t="s">
        <v>131</v>
      </c>
      <c r="H62" s="26">
        <v>17</v>
      </c>
      <c r="I62" s="26"/>
      <c r="J62" s="31">
        <v>50000</v>
      </c>
      <c r="L62" s="32">
        <f>(J62*E62)</f>
        <v>50000</v>
      </c>
    </row>
    <row r="63" spans="1:12" s="23" customFormat="1" ht="102.5" thickTop="1" thickBot="1" x14ac:dyDescent="0.4">
      <c r="A63" s="26">
        <v>157</v>
      </c>
      <c r="B63" s="26" t="s">
        <v>82</v>
      </c>
      <c r="C63" s="26" t="s">
        <v>6</v>
      </c>
      <c r="D63" s="26" t="s">
        <v>599</v>
      </c>
      <c r="E63" s="26">
        <v>1</v>
      </c>
      <c r="F63" s="31">
        <v>50000</v>
      </c>
      <c r="G63" s="26" t="s">
        <v>131</v>
      </c>
      <c r="H63" s="26" t="s">
        <v>712</v>
      </c>
      <c r="I63" s="26"/>
      <c r="J63" s="31">
        <v>50000</v>
      </c>
      <c r="L63" s="32">
        <f>(J63*E63)</f>
        <v>50000</v>
      </c>
    </row>
    <row r="64" spans="1:12" s="41" customFormat="1" ht="58.5" thickTop="1" x14ac:dyDescent="0.35">
      <c r="A64" s="20">
        <v>158</v>
      </c>
      <c r="B64" s="20" t="s">
        <v>83</v>
      </c>
      <c r="C64" s="20" t="s">
        <v>8</v>
      </c>
      <c r="D64" s="20" t="s">
        <v>600</v>
      </c>
      <c r="E64" s="20">
        <v>1</v>
      </c>
      <c r="F64" s="21">
        <v>50000</v>
      </c>
      <c r="G64" s="20" t="s">
        <v>131</v>
      </c>
      <c r="H64" s="20">
        <v>12</v>
      </c>
      <c r="I64" s="20"/>
      <c r="J64" s="21">
        <v>50000</v>
      </c>
      <c r="K64" s="22"/>
      <c r="L64" s="17">
        <f>(J64*E64)</f>
        <v>50000</v>
      </c>
    </row>
    <row r="65" spans="1:14" s="41" customFormat="1" ht="305" thickBot="1" x14ac:dyDescent="0.4">
      <c r="A65" s="20">
        <v>160</v>
      </c>
      <c r="B65" s="20" t="s">
        <v>85</v>
      </c>
      <c r="C65" s="20" t="s">
        <v>13</v>
      </c>
      <c r="D65" s="20" t="s">
        <v>86</v>
      </c>
      <c r="E65" s="20">
        <v>1</v>
      </c>
      <c r="F65" s="21" t="s">
        <v>31</v>
      </c>
      <c r="G65" s="20" t="s">
        <v>131</v>
      </c>
      <c r="H65" s="20">
        <v>12</v>
      </c>
      <c r="I65" s="20"/>
      <c r="J65" s="21">
        <v>30000</v>
      </c>
      <c r="K65" s="22"/>
      <c r="L65" s="17">
        <f>(J65*E65)</f>
        <v>30000</v>
      </c>
    </row>
    <row r="66" spans="1:14" s="23" customFormat="1" ht="15.5" thickTop="1" thickBot="1" x14ac:dyDescent="0.4">
      <c r="A66" s="26">
        <v>161</v>
      </c>
      <c r="B66" s="26" t="s">
        <v>88</v>
      </c>
      <c r="C66" s="26" t="s">
        <v>28</v>
      </c>
      <c r="D66" s="26" t="s">
        <v>89</v>
      </c>
      <c r="E66" s="26">
        <v>1</v>
      </c>
      <c r="F66" s="31" t="s">
        <v>87</v>
      </c>
      <c r="G66" s="26" t="s">
        <v>131</v>
      </c>
      <c r="H66" s="26">
        <v>14</v>
      </c>
      <c r="I66" s="26"/>
      <c r="J66" s="31">
        <v>25000</v>
      </c>
      <c r="L66" s="32">
        <f>(J66*E66)</f>
        <v>25000</v>
      </c>
    </row>
    <row r="67" spans="1:14" s="23" customFormat="1" ht="30" thickTop="1" thickBot="1" x14ac:dyDescent="0.4">
      <c r="A67" s="26">
        <v>165</v>
      </c>
      <c r="B67" s="26" t="s">
        <v>90</v>
      </c>
      <c r="C67" s="26" t="s">
        <v>0</v>
      </c>
      <c r="D67" s="26" t="s">
        <v>91</v>
      </c>
      <c r="E67" s="26">
        <v>1</v>
      </c>
      <c r="F67" s="31">
        <v>70000</v>
      </c>
      <c r="G67" s="26" t="s">
        <v>131</v>
      </c>
      <c r="H67" s="26">
        <v>11</v>
      </c>
      <c r="I67" s="26"/>
      <c r="J67" s="31">
        <v>50000</v>
      </c>
      <c r="L67" s="32">
        <f>(J67*E67)</f>
        <v>50000</v>
      </c>
    </row>
    <row r="68" spans="1:14" s="40" customFormat="1" ht="15.5" thickTop="1" thickBot="1" x14ac:dyDescent="0.4">
      <c r="A68" s="58">
        <v>174</v>
      </c>
      <c r="B68" s="58" t="s">
        <v>671</v>
      </c>
      <c r="C68" s="58" t="s">
        <v>28</v>
      </c>
      <c r="D68" s="58" t="s">
        <v>92</v>
      </c>
      <c r="E68" s="58">
        <v>1</v>
      </c>
      <c r="F68" s="59">
        <v>140000</v>
      </c>
      <c r="G68" s="58" t="s">
        <v>131</v>
      </c>
      <c r="H68" s="58">
        <v>10</v>
      </c>
      <c r="I68" s="58"/>
      <c r="J68" s="59">
        <v>50000</v>
      </c>
      <c r="K68" s="25"/>
      <c r="L68" s="39">
        <f>(J68*E68)</f>
        <v>50000</v>
      </c>
    </row>
    <row r="69" spans="1:14" s="23" customFormat="1" ht="15.5" thickTop="1" thickBot="1" x14ac:dyDescent="0.4">
      <c r="A69" s="26">
        <v>175</v>
      </c>
      <c r="B69" s="26" t="s">
        <v>683</v>
      </c>
      <c r="C69" s="26" t="s">
        <v>28</v>
      </c>
      <c r="D69" s="26" t="s">
        <v>93</v>
      </c>
      <c r="E69" s="26">
        <v>1</v>
      </c>
      <c r="F69" s="31">
        <v>100000</v>
      </c>
      <c r="G69" s="26" t="s">
        <v>131</v>
      </c>
      <c r="H69" s="26">
        <v>10</v>
      </c>
      <c r="I69" s="26"/>
      <c r="J69" s="31">
        <v>50000</v>
      </c>
      <c r="L69" s="32">
        <f>(J69*E69)</f>
        <v>50000</v>
      </c>
    </row>
    <row r="70" spans="1:14" s="23" customFormat="1" ht="15.5" thickTop="1" thickBot="1" x14ac:dyDescent="0.4">
      <c r="A70" s="26">
        <v>176</v>
      </c>
      <c r="B70" s="26" t="s">
        <v>167</v>
      </c>
      <c r="C70" s="26" t="s">
        <v>28</v>
      </c>
      <c r="D70" s="26" t="s">
        <v>94</v>
      </c>
      <c r="E70" s="26">
        <v>2</v>
      </c>
      <c r="F70" s="31">
        <v>60000</v>
      </c>
      <c r="G70" s="26" t="s">
        <v>131</v>
      </c>
      <c r="H70" s="26">
        <v>10</v>
      </c>
      <c r="I70" s="26"/>
      <c r="J70" s="31">
        <v>45000</v>
      </c>
      <c r="L70" s="32">
        <f>(J70*E70)</f>
        <v>90000</v>
      </c>
    </row>
    <row r="71" spans="1:14" s="41" customFormat="1" ht="15.5" thickTop="1" thickBot="1" x14ac:dyDescent="0.4">
      <c r="A71" s="20">
        <v>177</v>
      </c>
      <c r="B71" s="20" t="s">
        <v>95</v>
      </c>
      <c r="C71" s="20" t="s">
        <v>28</v>
      </c>
      <c r="D71" s="20" t="s">
        <v>96</v>
      </c>
      <c r="E71" s="20">
        <v>1</v>
      </c>
      <c r="F71" s="21">
        <v>80000</v>
      </c>
      <c r="G71" s="20" t="s">
        <v>131</v>
      </c>
      <c r="H71" s="20">
        <v>11</v>
      </c>
      <c r="I71" s="20"/>
      <c r="J71" s="21">
        <v>40000</v>
      </c>
      <c r="K71" s="22"/>
      <c r="L71" s="17">
        <f>(J71*E71)</f>
        <v>40000</v>
      </c>
    </row>
    <row r="72" spans="1:14" s="23" customFormat="1" ht="30" thickTop="1" thickBot="1" x14ac:dyDescent="0.4">
      <c r="A72" s="26">
        <v>179</v>
      </c>
      <c r="B72" s="26" t="s">
        <v>689</v>
      </c>
      <c r="C72" s="26" t="s">
        <v>4</v>
      </c>
      <c r="D72" s="26" t="s">
        <v>168</v>
      </c>
      <c r="E72" s="26">
        <v>1</v>
      </c>
      <c r="F72" s="31">
        <v>90000</v>
      </c>
      <c r="G72" s="26" t="s">
        <v>131</v>
      </c>
      <c r="H72" s="26">
        <v>23</v>
      </c>
      <c r="I72" s="26"/>
      <c r="J72" s="31">
        <v>45000</v>
      </c>
      <c r="L72" s="32">
        <f>(J72*E72)</f>
        <v>45000</v>
      </c>
    </row>
    <row r="73" spans="1:14" s="23" customFormat="1" ht="30" thickTop="1" thickBot="1" x14ac:dyDescent="0.4">
      <c r="A73" s="26">
        <v>181</v>
      </c>
      <c r="B73" s="26" t="s">
        <v>98</v>
      </c>
      <c r="C73" s="26" t="s">
        <v>99</v>
      </c>
      <c r="D73" s="26" t="s">
        <v>97</v>
      </c>
      <c r="E73" s="26">
        <v>3</v>
      </c>
      <c r="F73" s="31">
        <v>80000</v>
      </c>
      <c r="G73" s="26" t="s">
        <v>131</v>
      </c>
      <c r="H73" s="26">
        <v>23</v>
      </c>
      <c r="I73" s="26"/>
      <c r="J73" s="31">
        <v>50000</v>
      </c>
      <c r="L73" s="32">
        <f>(J73*E73)</f>
        <v>150000</v>
      </c>
    </row>
    <row r="74" spans="1:14" s="26" customFormat="1" ht="59" thickTop="1" thickBot="1" x14ac:dyDescent="0.4">
      <c r="A74" s="26">
        <v>183</v>
      </c>
      <c r="B74" s="26" t="s">
        <v>177</v>
      </c>
      <c r="C74" s="26" t="s">
        <v>58</v>
      </c>
      <c r="D74" s="26" t="s">
        <v>603</v>
      </c>
      <c r="E74" s="26">
        <v>1</v>
      </c>
      <c r="F74" s="31">
        <v>50000</v>
      </c>
      <c r="G74" s="26" t="s">
        <v>131</v>
      </c>
      <c r="H74" s="26">
        <v>14</v>
      </c>
      <c r="J74" s="31">
        <v>25000</v>
      </c>
      <c r="L74" s="32">
        <f>(J74*E74)</f>
        <v>25000</v>
      </c>
    </row>
    <row r="75" spans="1:14" s="26" customFormat="1" ht="409.6" thickTop="1" thickBot="1" x14ac:dyDescent="0.4">
      <c r="A75" s="26">
        <v>184</v>
      </c>
      <c r="B75" s="26" t="s">
        <v>604</v>
      </c>
      <c r="C75" s="26" t="s">
        <v>58</v>
      </c>
      <c r="D75" s="26" t="s">
        <v>684</v>
      </c>
      <c r="E75" s="26">
        <v>1</v>
      </c>
      <c r="F75" s="31">
        <v>50000</v>
      </c>
      <c r="G75" s="26" t="s">
        <v>131</v>
      </c>
      <c r="H75" s="26">
        <v>14</v>
      </c>
      <c r="J75" s="31">
        <v>44000</v>
      </c>
      <c r="L75" s="32">
        <f>(J75*E75)</f>
        <v>44000</v>
      </c>
    </row>
    <row r="76" spans="1:14" s="42" customFormat="1" ht="29.5" thickTop="1" x14ac:dyDescent="0.35">
      <c r="A76" s="20">
        <v>188</v>
      </c>
      <c r="B76" s="20" t="s">
        <v>101</v>
      </c>
      <c r="C76" s="20" t="s">
        <v>10</v>
      </c>
      <c r="D76" s="20" t="s">
        <v>100</v>
      </c>
      <c r="E76" s="20">
        <v>1</v>
      </c>
      <c r="F76" s="21">
        <v>55000</v>
      </c>
      <c r="G76" s="20" t="s">
        <v>131</v>
      </c>
      <c r="H76" s="20">
        <v>12</v>
      </c>
      <c r="I76" s="20"/>
      <c r="J76" s="21">
        <v>50000</v>
      </c>
      <c r="K76" s="20"/>
      <c r="L76" s="17">
        <f>(J76*E76)</f>
        <v>50000</v>
      </c>
    </row>
    <row r="77" spans="1:14" s="42" customFormat="1" ht="29" x14ac:dyDescent="0.35">
      <c r="A77" s="20">
        <v>189</v>
      </c>
      <c r="B77" s="20" t="s">
        <v>102</v>
      </c>
      <c r="C77" s="20" t="s">
        <v>10</v>
      </c>
      <c r="D77" s="20" t="s">
        <v>100</v>
      </c>
      <c r="E77" s="20">
        <v>1</v>
      </c>
      <c r="F77" s="21">
        <v>55000</v>
      </c>
      <c r="G77" s="20" t="s">
        <v>131</v>
      </c>
      <c r="H77" s="20">
        <v>12</v>
      </c>
      <c r="I77" s="20"/>
      <c r="J77" s="21">
        <v>50000</v>
      </c>
      <c r="K77" s="20"/>
      <c r="L77" s="17">
        <f>(J77*E77)</f>
        <v>50000</v>
      </c>
      <c r="M77" s="46"/>
      <c r="N77" s="46"/>
    </row>
    <row r="78" spans="1:14" s="42" customFormat="1" ht="319" x14ac:dyDescent="0.35">
      <c r="A78" s="20">
        <v>190</v>
      </c>
      <c r="B78" s="20" t="s">
        <v>175</v>
      </c>
      <c r="C78" s="20" t="s">
        <v>84</v>
      </c>
      <c r="D78" s="20" t="s">
        <v>605</v>
      </c>
      <c r="E78" s="20">
        <v>2</v>
      </c>
      <c r="F78" s="21">
        <v>60000</v>
      </c>
      <c r="G78" s="20" t="s">
        <v>131</v>
      </c>
      <c r="H78" s="20">
        <v>12</v>
      </c>
      <c r="I78" s="20"/>
      <c r="J78" s="21">
        <v>50000</v>
      </c>
      <c r="K78" s="20"/>
      <c r="L78" s="17">
        <f>(J78*E78)</f>
        <v>100000</v>
      </c>
      <c r="M78" s="46"/>
      <c r="N78" s="46"/>
    </row>
    <row r="79" spans="1:14" s="42" customFormat="1" ht="44" thickBot="1" x14ac:dyDescent="0.4">
      <c r="A79" s="20">
        <v>191</v>
      </c>
      <c r="B79" s="20" t="s">
        <v>607</v>
      </c>
      <c r="C79" s="20" t="s">
        <v>58</v>
      </c>
      <c r="D79" s="20" t="s">
        <v>606</v>
      </c>
      <c r="E79" s="20">
        <v>1</v>
      </c>
      <c r="F79" s="21">
        <v>50000</v>
      </c>
      <c r="G79" s="20" t="s">
        <v>131</v>
      </c>
      <c r="H79" s="20">
        <v>14</v>
      </c>
      <c r="I79" s="20"/>
      <c r="J79" s="21">
        <v>30000</v>
      </c>
      <c r="K79" s="20"/>
      <c r="L79" s="17">
        <f>(J79*E79)</f>
        <v>30000</v>
      </c>
    </row>
    <row r="80" spans="1:14" s="26" customFormat="1" ht="15.5" thickTop="1" thickBot="1" x14ac:dyDescent="0.4">
      <c r="A80" s="26">
        <v>192</v>
      </c>
      <c r="B80" s="26" t="s">
        <v>104</v>
      </c>
      <c r="C80" s="26" t="s">
        <v>58</v>
      </c>
      <c r="D80" s="26" t="s">
        <v>103</v>
      </c>
      <c r="E80" s="26">
        <v>1</v>
      </c>
      <c r="F80" s="31">
        <v>50000</v>
      </c>
      <c r="G80" s="26" t="s">
        <v>131</v>
      </c>
      <c r="H80" s="26">
        <v>14</v>
      </c>
      <c r="J80" s="31">
        <v>30000</v>
      </c>
      <c r="L80" s="32">
        <f>(J80*E80)</f>
        <v>30000</v>
      </c>
    </row>
    <row r="81" spans="1:12" s="27" customFormat="1" ht="102.5" thickTop="1" thickBot="1" x14ac:dyDescent="0.4">
      <c r="A81" s="28">
        <v>196</v>
      </c>
      <c r="B81" s="28" t="s">
        <v>191</v>
      </c>
      <c r="C81" s="28" t="s">
        <v>189</v>
      </c>
      <c r="D81" s="28" t="s">
        <v>190</v>
      </c>
      <c r="E81" s="28">
        <v>2</v>
      </c>
      <c r="F81" s="36">
        <v>60000</v>
      </c>
      <c r="G81" s="28" t="s">
        <v>232</v>
      </c>
      <c r="H81" s="28">
        <v>4</v>
      </c>
      <c r="I81" s="28"/>
      <c r="J81" s="36">
        <v>0</v>
      </c>
      <c r="L81" s="33">
        <f>(J81*E81)</f>
        <v>0</v>
      </c>
    </row>
    <row r="82" spans="1:12" s="26" customFormat="1" ht="44.5" thickTop="1" thickBot="1" x14ac:dyDescent="0.4">
      <c r="A82" s="26">
        <v>200</v>
      </c>
      <c r="B82" s="26" t="s">
        <v>685</v>
      </c>
      <c r="C82" s="26" t="s">
        <v>28</v>
      </c>
      <c r="D82" s="26" t="s">
        <v>9</v>
      </c>
      <c r="E82" s="26">
        <v>1</v>
      </c>
      <c r="F82" s="31">
        <v>140000</v>
      </c>
      <c r="G82" s="26" t="s">
        <v>131</v>
      </c>
      <c r="H82" s="26">
        <v>14</v>
      </c>
      <c r="J82" s="31">
        <v>50000</v>
      </c>
      <c r="L82" s="32">
        <f>(J82*E82)</f>
        <v>50000</v>
      </c>
    </row>
    <row r="83" spans="1:12" s="26" customFormat="1" ht="15.5" thickTop="1" thickBot="1" x14ac:dyDescent="0.4">
      <c r="A83" s="26">
        <v>201</v>
      </c>
      <c r="B83" s="26" t="s">
        <v>105</v>
      </c>
      <c r="C83" s="26" t="s">
        <v>227</v>
      </c>
      <c r="D83" s="26" t="s">
        <v>23</v>
      </c>
      <c r="E83" s="26">
        <v>1</v>
      </c>
      <c r="F83" s="31">
        <v>70000</v>
      </c>
      <c r="G83" s="26" t="s">
        <v>131</v>
      </c>
      <c r="H83" s="26">
        <v>14</v>
      </c>
      <c r="J83" s="31">
        <v>50000</v>
      </c>
      <c r="L83" s="32">
        <f>(J83*E83)</f>
        <v>50000</v>
      </c>
    </row>
    <row r="84" spans="1:12" s="26" customFormat="1" ht="44.5" thickTop="1" thickBot="1" x14ac:dyDescent="0.4">
      <c r="A84" s="26">
        <v>202</v>
      </c>
      <c r="B84" s="26" t="s">
        <v>608</v>
      </c>
      <c r="C84" s="26" t="s">
        <v>15</v>
      </c>
      <c r="D84" s="26" t="s">
        <v>169</v>
      </c>
      <c r="E84" s="26">
        <v>5</v>
      </c>
      <c r="F84" s="31" t="s">
        <v>55</v>
      </c>
      <c r="G84" s="26" t="s">
        <v>131</v>
      </c>
      <c r="H84" s="26">
        <v>22</v>
      </c>
      <c r="J84" s="31">
        <v>50000</v>
      </c>
      <c r="L84" s="32">
        <f>(J84*E84)</f>
        <v>250000</v>
      </c>
    </row>
    <row r="85" spans="1:12" s="42" customFormat="1" ht="44.5" thickTop="1" thickBot="1" x14ac:dyDescent="0.4">
      <c r="A85" s="20">
        <v>203</v>
      </c>
      <c r="B85" s="20" t="s">
        <v>107</v>
      </c>
      <c r="C85" s="20" t="s">
        <v>56</v>
      </c>
      <c r="D85" s="20" t="s">
        <v>106</v>
      </c>
      <c r="E85" s="20">
        <v>1</v>
      </c>
      <c r="F85" s="21">
        <v>70000</v>
      </c>
      <c r="G85" s="20" t="s">
        <v>131</v>
      </c>
      <c r="H85" s="20">
        <v>13</v>
      </c>
      <c r="I85" s="20"/>
      <c r="J85" s="21">
        <v>40000</v>
      </c>
      <c r="K85" s="20"/>
      <c r="L85" s="17">
        <f>(J85*E85)</f>
        <v>40000</v>
      </c>
    </row>
    <row r="86" spans="1:12" s="26" customFormat="1" ht="291" thickTop="1" thickBot="1" x14ac:dyDescent="0.4">
      <c r="A86" s="26">
        <v>204</v>
      </c>
      <c r="B86" s="26" t="s">
        <v>109</v>
      </c>
      <c r="C86" s="26" t="s">
        <v>0</v>
      </c>
      <c r="D86" s="26" t="s">
        <v>108</v>
      </c>
      <c r="E86" s="26">
        <v>1</v>
      </c>
      <c r="F86" s="31">
        <v>70000</v>
      </c>
      <c r="G86" s="26" t="s">
        <v>131</v>
      </c>
      <c r="H86" s="26">
        <v>13</v>
      </c>
      <c r="J86" s="31">
        <v>50000</v>
      </c>
      <c r="L86" s="32">
        <f>(J86*E86)</f>
        <v>50000</v>
      </c>
    </row>
    <row r="87" spans="1:12" s="26" customFormat="1" ht="87" customHeight="1" thickTop="1" thickBot="1" x14ac:dyDescent="0.4">
      <c r="A87" s="26">
        <v>206</v>
      </c>
      <c r="B87" s="26" t="s">
        <v>125</v>
      </c>
      <c r="C87" s="26" t="s">
        <v>4</v>
      </c>
      <c r="D87" s="26" t="s">
        <v>132</v>
      </c>
      <c r="E87" s="26">
        <v>1</v>
      </c>
      <c r="F87" s="31">
        <v>60000</v>
      </c>
      <c r="G87" s="26" t="s">
        <v>131</v>
      </c>
      <c r="H87" s="26">
        <v>13</v>
      </c>
      <c r="J87" s="31">
        <v>45000</v>
      </c>
      <c r="L87" s="32">
        <f>(J87*E87)</f>
        <v>45000</v>
      </c>
    </row>
    <row r="88" spans="1:12" s="42" customFormat="1" ht="44" thickTop="1" x14ac:dyDescent="0.35">
      <c r="A88" s="20">
        <v>207</v>
      </c>
      <c r="B88" s="20" t="s">
        <v>110</v>
      </c>
      <c r="C88" s="20" t="s">
        <v>84</v>
      </c>
      <c r="D88" s="20" t="s">
        <v>174</v>
      </c>
      <c r="E88" s="20">
        <v>2</v>
      </c>
      <c r="F88" s="21">
        <v>50000</v>
      </c>
      <c r="G88" s="20" t="s">
        <v>131</v>
      </c>
      <c r="H88" s="20">
        <v>12</v>
      </c>
      <c r="I88" s="20"/>
      <c r="J88" s="21">
        <v>50000</v>
      </c>
      <c r="K88" s="20"/>
      <c r="L88" s="17">
        <f>(J88*E88)</f>
        <v>100000</v>
      </c>
    </row>
    <row r="89" spans="1:12" s="42" customFormat="1" ht="333.5" x14ac:dyDescent="0.35">
      <c r="A89" s="20">
        <v>208</v>
      </c>
      <c r="B89" s="20" t="s">
        <v>111</v>
      </c>
      <c r="C89" s="20" t="s">
        <v>84</v>
      </c>
      <c r="D89" s="20" t="s">
        <v>609</v>
      </c>
      <c r="E89" s="20">
        <v>1</v>
      </c>
      <c r="F89" s="21">
        <v>50000</v>
      </c>
      <c r="G89" s="20" t="s">
        <v>131</v>
      </c>
      <c r="H89" s="20">
        <v>12</v>
      </c>
      <c r="I89" s="20"/>
      <c r="J89" s="21">
        <v>50000</v>
      </c>
      <c r="K89" s="20"/>
      <c r="L89" s="17">
        <f>(J89*E89)</f>
        <v>50000</v>
      </c>
    </row>
    <row r="90" spans="1:12" s="42" customFormat="1" ht="246.5" x14ac:dyDescent="0.35">
      <c r="A90" s="20">
        <v>209</v>
      </c>
      <c r="B90" s="20" t="s">
        <v>113</v>
      </c>
      <c r="C90" s="20" t="s">
        <v>84</v>
      </c>
      <c r="D90" s="20" t="s">
        <v>112</v>
      </c>
      <c r="E90" s="20">
        <v>2</v>
      </c>
      <c r="F90" s="21">
        <v>50000</v>
      </c>
      <c r="G90" s="20" t="s">
        <v>131</v>
      </c>
      <c r="H90" s="20">
        <v>12</v>
      </c>
      <c r="I90" s="20"/>
      <c r="J90" s="21">
        <v>50000</v>
      </c>
      <c r="K90" s="20"/>
      <c r="L90" s="17">
        <f>(J90*E90)</f>
        <v>100000</v>
      </c>
    </row>
    <row r="91" spans="1:12" s="42" customFormat="1" x14ac:dyDescent="0.35">
      <c r="A91" s="20">
        <v>211</v>
      </c>
      <c r="B91" s="20" t="s">
        <v>176</v>
      </c>
      <c r="C91" s="20" t="s">
        <v>114</v>
      </c>
      <c r="D91" s="20" t="s">
        <v>115</v>
      </c>
      <c r="E91" s="20">
        <v>1</v>
      </c>
      <c r="F91" s="21">
        <v>50000</v>
      </c>
      <c r="G91" s="20" t="s">
        <v>131</v>
      </c>
      <c r="H91" s="20">
        <v>12</v>
      </c>
      <c r="I91" s="20"/>
      <c r="J91" s="21">
        <v>15000</v>
      </c>
      <c r="K91" s="20"/>
      <c r="L91" s="17">
        <f>(J91*E91)</f>
        <v>15000</v>
      </c>
    </row>
    <row r="92" spans="1:12" s="42" customFormat="1" ht="63.75" customHeight="1" x14ac:dyDescent="0.35">
      <c r="A92" s="20">
        <v>212</v>
      </c>
      <c r="B92" s="20" t="s">
        <v>120</v>
      </c>
      <c r="C92" s="20" t="s">
        <v>13</v>
      </c>
      <c r="D92" s="20" t="s">
        <v>610</v>
      </c>
      <c r="E92" s="20">
        <v>1</v>
      </c>
      <c r="F92" s="21" t="s">
        <v>33</v>
      </c>
      <c r="G92" s="20"/>
      <c r="H92" s="20">
        <v>12</v>
      </c>
      <c r="I92" s="20"/>
      <c r="J92" s="21">
        <v>20000</v>
      </c>
      <c r="K92" s="20"/>
      <c r="L92" s="17">
        <f>(J92*E92)</f>
        <v>20000</v>
      </c>
    </row>
    <row r="93" spans="1:12" s="42" customFormat="1" ht="43.5" x14ac:dyDescent="0.35">
      <c r="A93" s="20">
        <v>213</v>
      </c>
      <c r="B93" s="20" t="s">
        <v>172</v>
      </c>
      <c r="C93" s="20" t="s">
        <v>114</v>
      </c>
      <c r="D93" s="20" t="s">
        <v>171</v>
      </c>
      <c r="E93" s="20">
        <v>1</v>
      </c>
      <c r="F93" s="21">
        <v>50000</v>
      </c>
      <c r="G93" s="20" t="s">
        <v>131</v>
      </c>
      <c r="H93" s="20">
        <v>12</v>
      </c>
      <c r="I93" s="20"/>
      <c r="J93" s="21">
        <v>40000</v>
      </c>
      <c r="K93" s="20"/>
      <c r="L93" s="17">
        <f>(J93*E93)</f>
        <v>40000</v>
      </c>
    </row>
    <row r="94" spans="1:12" s="42" customFormat="1" ht="174" x14ac:dyDescent="0.35">
      <c r="A94" s="20">
        <v>214</v>
      </c>
      <c r="B94" s="20" t="s">
        <v>117</v>
      </c>
      <c r="C94" s="20" t="s">
        <v>13</v>
      </c>
      <c r="D94" s="20" t="s">
        <v>611</v>
      </c>
      <c r="E94" s="20">
        <v>5</v>
      </c>
      <c r="F94" s="21" t="s">
        <v>33</v>
      </c>
      <c r="G94" s="20" t="s">
        <v>131</v>
      </c>
      <c r="H94" s="20">
        <v>12</v>
      </c>
      <c r="I94" s="20"/>
      <c r="J94" s="21">
        <v>20000</v>
      </c>
      <c r="K94" s="20"/>
      <c r="L94" s="17">
        <f>(J94*E94)</f>
        <v>100000</v>
      </c>
    </row>
    <row r="95" spans="1:12" s="42" customFormat="1" ht="218" thickBot="1" x14ac:dyDescent="0.4">
      <c r="A95" s="20">
        <v>215</v>
      </c>
      <c r="B95" s="20" t="s">
        <v>118</v>
      </c>
      <c r="C95" s="20" t="s">
        <v>14</v>
      </c>
      <c r="D95" s="20" t="s">
        <v>116</v>
      </c>
      <c r="E95" s="20">
        <v>5</v>
      </c>
      <c r="F95" s="21" t="s">
        <v>33</v>
      </c>
      <c r="G95" s="20" t="s">
        <v>131</v>
      </c>
      <c r="H95" s="20">
        <v>12</v>
      </c>
      <c r="I95" s="20"/>
      <c r="J95" s="21">
        <v>20000</v>
      </c>
      <c r="K95" s="20"/>
      <c r="L95" s="17">
        <f>(J95*E95)</f>
        <v>100000</v>
      </c>
    </row>
    <row r="96" spans="1:12" s="26" customFormat="1" ht="276.5" thickTop="1" thickBot="1" x14ac:dyDescent="0.4">
      <c r="A96" s="26">
        <v>216</v>
      </c>
      <c r="B96" s="26" t="s">
        <v>119</v>
      </c>
      <c r="C96" s="26" t="s">
        <v>58</v>
      </c>
      <c r="D96" s="26" t="s">
        <v>612</v>
      </c>
      <c r="E96" s="26">
        <v>1</v>
      </c>
      <c r="F96" s="31">
        <v>50000</v>
      </c>
      <c r="G96" s="26" t="s">
        <v>131</v>
      </c>
      <c r="H96" s="26">
        <v>14</v>
      </c>
      <c r="J96" s="31">
        <v>50000</v>
      </c>
      <c r="L96" s="32">
        <f>(J96*E96)</f>
        <v>50000</v>
      </c>
    </row>
    <row r="97" spans="1:12" s="28" customFormat="1" ht="44.5" thickTop="1" thickBot="1" x14ac:dyDescent="0.4">
      <c r="A97" s="28">
        <v>217</v>
      </c>
      <c r="B97" s="28" t="s">
        <v>107</v>
      </c>
      <c r="C97" s="28" t="s">
        <v>56</v>
      </c>
      <c r="D97" s="28" t="s">
        <v>106</v>
      </c>
      <c r="E97" s="28">
        <v>1</v>
      </c>
      <c r="F97" s="36">
        <v>70000</v>
      </c>
      <c r="G97" s="28" t="s">
        <v>232</v>
      </c>
      <c r="H97" s="28">
        <v>4</v>
      </c>
      <c r="J97" s="36"/>
      <c r="L97" s="33">
        <f>(J97*E97)</f>
        <v>0</v>
      </c>
    </row>
    <row r="98" spans="1:12" s="42" customFormat="1" ht="290.5" thickTop="1" x14ac:dyDescent="0.35">
      <c r="A98" s="20">
        <v>218</v>
      </c>
      <c r="B98" s="20" t="s">
        <v>122</v>
      </c>
      <c r="C98" s="20" t="s">
        <v>8</v>
      </c>
      <c r="D98" s="20" t="s">
        <v>121</v>
      </c>
      <c r="E98" s="20">
        <v>2</v>
      </c>
      <c r="F98" s="21" t="s">
        <v>30</v>
      </c>
      <c r="G98" s="20" t="s">
        <v>131</v>
      </c>
      <c r="H98" s="20">
        <v>12</v>
      </c>
      <c r="I98" s="20"/>
      <c r="J98" s="21">
        <v>50000</v>
      </c>
      <c r="K98" s="20"/>
      <c r="L98" s="17">
        <f>(J98*E98)</f>
        <v>100000</v>
      </c>
    </row>
    <row r="99" spans="1:12" s="42" customFormat="1" ht="116" x14ac:dyDescent="0.35">
      <c r="A99" s="20">
        <v>219</v>
      </c>
      <c r="B99" s="20" t="s">
        <v>170</v>
      </c>
      <c r="C99" s="20" t="s">
        <v>114</v>
      </c>
      <c r="D99" s="20" t="s">
        <v>123</v>
      </c>
      <c r="E99" s="20">
        <v>1</v>
      </c>
      <c r="F99" s="21">
        <v>90000</v>
      </c>
      <c r="G99" s="20" t="s">
        <v>131</v>
      </c>
      <c r="H99" s="20">
        <v>12</v>
      </c>
      <c r="I99" s="20"/>
      <c r="J99" s="21">
        <v>45000</v>
      </c>
      <c r="K99" s="20"/>
      <c r="L99" s="17">
        <f>(J99*E99)</f>
        <v>45000</v>
      </c>
    </row>
    <row r="100" spans="1:12" s="42" customFormat="1" ht="43.5" x14ac:dyDescent="0.35">
      <c r="A100" s="20">
        <v>220</v>
      </c>
      <c r="B100" s="20" t="s">
        <v>124</v>
      </c>
      <c r="C100" s="20" t="s">
        <v>114</v>
      </c>
      <c r="D100" s="20" t="s">
        <v>173</v>
      </c>
      <c r="E100" s="20">
        <v>1</v>
      </c>
      <c r="F100" s="21">
        <v>90000</v>
      </c>
      <c r="G100" s="20" t="s">
        <v>131</v>
      </c>
      <c r="H100" s="20">
        <v>12</v>
      </c>
      <c r="I100" s="20"/>
      <c r="J100" s="21">
        <v>45000</v>
      </c>
      <c r="K100" s="20"/>
      <c r="L100" s="17">
        <f>(J100*E100)</f>
        <v>45000</v>
      </c>
    </row>
    <row r="101" spans="1:12" s="42" customFormat="1" ht="82.5" customHeight="1" x14ac:dyDescent="0.35">
      <c r="A101" s="20">
        <v>222</v>
      </c>
      <c r="B101" s="20"/>
      <c r="C101" s="20" t="s">
        <v>229</v>
      </c>
      <c r="D101" s="20" t="s">
        <v>730</v>
      </c>
      <c r="E101" s="20">
        <v>1</v>
      </c>
      <c r="F101" s="21"/>
      <c r="G101" s="20"/>
      <c r="H101" s="20" t="s">
        <v>229</v>
      </c>
      <c r="I101" s="20"/>
      <c r="J101" s="21"/>
      <c r="K101" s="20"/>
      <c r="L101" s="17"/>
    </row>
    <row r="102" spans="1:12" s="42" customFormat="1" ht="15" thickBot="1" x14ac:dyDescent="0.4">
      <c r="A102" s="20">
        <v>223</v>
      </c>
      <c r="B102" s="20" t="s">
        <v>134</v>
      </c>
      <c r="C102" s="20" t="s">
        <v>135</v>
      </c>
      <c r="D102" s="20" t="s">
        <v>136</v>
      </c>
      <c r="E102" s="20">
        <v>1</v>
      </c>
      <c r="F102" s="21">
        <v>50000</v>
      </c>
      <c r="G102" s="20" t="s">
        <v>133</v>
      </c>
      <c r="H102" s="20">
        <v>14</v>
      </c>
      <c r="I102" s="20"/>
      <c r="J102" s="21"/>
      <c r="K102" s="20"/>
      <c r="L102" s="17">
        <f>(J102*E102)</f>
        <v>0</v>
      </c>
    </row>
    <row r="103" spans="1:12" s="26" customFormat="1" ht="30" thickTop="1" thickBot="1" x14ac:dyDescent="0.4">
      <c r="A103" s="26">
        <v>226</v>
      </c>
      <c r="B103" s="26" t="s">
        <v>138</v>
      </c>
      <c r="C103" s="26" t="s">
        <v>56</v>
      </c>
      <c r="D103" s="26" t="s">
        <v>137</v>
      </c>
      <c r="E103" s="26">
        <v>1</v>
      </c>
      <c r="F103" s="31">
        <v>90000</v>
      </c>
      <c r="G103" s="26" t="s">
        <v>133</v>
      </c>
      <c r="H103" s="26">
        <v>19</v>
      </c>
      <c r="J103" s="31">
        <v>50000</v>
      </c>
      <c r="L103" s="32">
        <f>(J103*E103)</f>
        <v>50000</v>
      </c>
    </row>
    <row r="104" spans="1:12" s="26" customFormat="1" ht="88" thickTop="1" thickBot="1" x14ac:dyDescent="0.4">
      <c r="A104" s="26">
        <v>229</v>
      </c>
      <c r="B104" s="26" t="s">
        <v>139</v>
      </c>
      <c r="C104" s="26" t="s">
        <v>56</v>
      </c>
      <c r="D104" s="26" t="s">
        <v>140</v>
      </c>
      <c r="E104" s="26">
        <v>1</v>
      </c>
      <c r="F104" s="31">
        <v>110000</v>
      </c>
      <c r="G104" s="26" t="s">
        <v>133</v>
      </c>
      <c r="H104" s="26" t="s">
        <v>712</v>
      </c>
      <c r="J104" s="31">
        <v>50000</v>
      </c>
      <c r="L104" s="32">
        <f>(J104*E104)</f>
        <v>50000</v>
      </c>
    </row>
    <row r="105" spans="1:12" s="26" customFormat="1" ht="102.5" thickTop="1" thickBot="1" x14ac:dyDescent="0.4">
      <c r="A105" s="26">
        <v>230</v>
      </c>
      <c r="B105" s="26" t="s">
        <v>178</v>
      </c>
      <c r="C105" s="26" t="s">
        <v>141</v>
      </c>
      <c r="D105" s="26" t="s">
        <v>566</v>
      </c>
      <c r="E105" s="26">
        <v>1</v>
      </c>
      <c r="F105" s="31">
        <v>60000</v>
      </c>
      <c r="G105" s="26" t="s">
        <v>133</v>
      </c>
      <c r="H105" s="26" t="s">
        <v>712</v>
      </c>
      <c r="J105" s="31">
        <v>50000</v>
      </c>
      <c r="L105" s="32">
        <f>(J105*E105)</f>
        <v>50000</v>
      </c>
    </row>
    <row r="106" spans="1:12" s="26" customFormat="1" ht="15.5" thickTop="1" thickBot="1" x14ac:dyDescent="0.4">
      <c r="A106" s="26">
        <v>231</v>
      </c>
      <c r="B106" s="26" t="s">
        <v>180</v>
      </c>
      <c r="C106" s="26" t="s">
        <v>144</v>
      </c>
      <c r="D106" s="26" t="s">
        <v>143</v>
      </c>
      <c r="E106" s="26">
        <v>1</v>
      </c>
      <c r="F106" s="31">
        <v>45000</v>
      </c>
      <c r="G106" s="26" t="s">
        <v>133</v>
      </c>
      <c r="H106" s="26">
        <v>23</v>
      </c>
      <c r="J106" s="31">
        <v>35000</v>
      </c>
      <c r="L106" s="32">
        <f>(J106*E106)</f>
        <v>35000</v>
      </c>
    </row>
    <row r="107" spans="1:12" s="26" customFormat="1" ht="15.5" thickTop="1" thickBot="1" x14ac:dyDescent="0.4">
      <c r="A107" s="26">
        <v>233</v>
      </c>
      <c r="B107" s="26" t="s">
        <v>181</v>
      </c>
      <c r="C107" s="26" t="s">
        <v>158</v>
      </c>
      <c r="D107" s="26" t="s">
        <v>182</v>
      </c>
      <c r="E107" s="26">
        <v>1</v>
      </c>
      <c r="F107" s="31">
        <v>120000</v>
      </c>
      <c r="G107" s="26" t="s">
        <v>133</v>
      </c>
      <c r="H107" s="26">
        <v>17</v>
      </c>
      <c r="J107" s="31">
        <v>50000</v>
      </c>
      <c r="L107" s="32">
        <f>(J107*E107)</f>
        <v>50000</v>
      </c>
    </row>
    <row r="108" spans="1:12" s="42" customFormat="1" ht="15" customHeight="1" thickTop="1" x14ac:dyDescent="0.35">
      <c r="A108" s="20">
        <v>240</v>
      </c>
      <c r="B108" s="20" t="s">
        <v>146</v>
      </c>
      <c r="C108" s="20" t="s">
        <v>114</v>
      </c>
      <c r="D108" s="60" t="s">
        <v>147</v>
      </c>
      <c r="E108" s="20">
        <v>1</v>
      </c>
      <c r="F108" s="21">
        <v>80000</v>
      </c>
      <c r="G108" s="20" t="s">
        <v>142</v>
      </c>
      <c r="H108" s="20">
        <v>12</v>
      </c>
      <c r="I108" s="20"/>
      <c r="J108" s="21">
        <v>50000</v>
      </c>
      <c r="K108" s="20"/>
      <c r="L108" s="17">
        <f>(J108*E108)</f>
        <v>50000</v>
      </c>
    </row>
    <row r="109" spans="1:12" s="42" customFormat="1" ht="15" customHeight="1" x14ac:dyDescent="0.35">
      <c r="A109" s="20">
        <v>241</v>
      </c>
      <c r="B109" s="20" t="s">
        <v>148</v>
      </c>
      <c r="C109" s="20" t="s">
        <v>114</v>
      </c>
      <c r="D109" s="60" t="s">
        <v>149</v>
      </c>
      <c r="E109" s="20">
        <v>1</v>
      </c>
      <c r="F109" s="21">
        <v>80000</v>
      </c>
      <c r="G109" s="20" t="s">
        <v>142</v>
      </c>
      <c r="H109" s="20">
        <v>12</v>
      </c>
      <c r="I109" s="20"/>
      <c r="J109" s="21">
        <v>50000</v>
      </c>
      <c r="K109" s="20"/>
      <c r="L109" s="17">
        <f>(J109*E109)</f>
        <v>50000</v>
      </c>
    </row>
    <row r="110" spans="1:12" s="42" customFormat="1" ht="15" customHeight="1" x14ac:dyDescent="0.35">
      <c r="A110" s="20">
        <v>242</v>
      </c>
      <c r="B110" s="20" t="s">
        <v>150</v>
      </c>
      <c r="C110" s="20" t="s">
        <v>114</v>
      </c>
      <c r="D110" s="60" t="s">
        <v>147</v>
      </c>
      <c r="E110" s="20">
        <v>1</v>
      </c>
      <c r="F110" s="21">
        <v>80000</v>
      </c>
      <c r="G110" s="20" t="s">
        <v>142</v>
      </c>
      <c r="H110" s="20">
        <v>12</v>
      </c>
      <c r="I110" s="20"/>
      <c r="J110" s="21">
        <v>50000</v>
      </c>
      <c r="K110" s="20"/>
      <c r="L110" s="17">
        <f>(J110*E110)</f>
        <v>50000</v>
      </c>
    </row>
    <row r="111" spans="1:12" s="42" customFormat="1" ht="15" customHeight="1" thickBot="1" x14ac:dyDescent="0.4">
      <c r="A111" s="20">
        <v>243</v>
      </c>
      <c r="B111" s="20" t="s">
        <v>151</v>
      </c>
      <c r="C111" s="20" t="s">
        <v>114</v>
      </c>
      <c r="D111" s="60" t="s">
        <v>149</v>
      </c>
      <c r="E111" s="20">
        <v>1</v>
      </c>
      <c r="F111" s="21">
        <v>80000</v>
      </c>
      <c r="G111" s="20" t="s">
        <v>142</v>
      </c>
      <c r="H111" s="20">
        <v>12</v>
      </c>
      <c r="I111" s="20"/>
      <c r="J111" s="21">
        <v>50000</v>
      </c>
      <c r="K111" s="20"/>
      <c r="L111" s="17">
        <f>(J111*E111)</f>
        <v>50000</v>
      </c>
    </row>
    <row r="112" spans="1:12" s="26" customFormat="1" ht="15" customHeight="1" thickTop="1" thickBot="1" x14ac:dyDescent="0.4">
      <c r="A112" s="26">
        <v>244</v>
      </c>
      <c r="B112" s="26" t="s">
        <v>688</v>
      </c>
      <c r="C112" s="26" t="s">
        <v>152</v>
      </c>
      <c r="D112" s="61" t="s">
        <v>153</v>
      </c>
      <c r="E112" s="26">
        <v>1</v>
      </c>
      <c r="F112" s="31">
        <v>90000</v>
      </c>
      <c r="G112" s="26" t="s">
        <v>142</v>
      </c>
      <c r="H112" s="26">
        <v>20</v>
      </c>
      <c r="J112" s="31">
        <v>50000</v>
      </c>
      <c r="L112" s="32">
        <f>(J112*E112)</f>
        <v>50000</v>
      </c>
    </row>
    <row r="113" spans="1:12" s="26" customFormat="1" ht="15" customHeight="1" thickTop="1" thickBot="1" x14ac:dyDescent="0.4">
      <c r="A113" s="26">
        <v>245</v>
      </c>
      <c r="B113" s="26" t="s">
        <v>154</v>
      </c>
      <c r="C113" s="26" t="s">
        <v>155</v>
      </c>
      <c r="D113" s="61" t="s">
        <v>156</v>
      </c>
      <c r="E113" s="26">
        <v>1</v>
      </c>
      <c r="F113" s="31">
        <v>60000</v>
      </c>
      <c r="G113" s="26" t="s">
        <v>142</v>
      </c>
      <c r="H113" s="26">
        <v>17</v>
      </c>
      <c r="J113" s="31">
        <v>50000</v>
      </c>
      <c r="L113" s="32">
        <f>(J113*E113)</f>
        <v>50000</v>
      </c>
    </row>
    <row r="114" spans="1:12" s="26" customFormat="1" ht="15" customHeight="1" thickTop="1" thickBot="1" x14ac:dyDescent="0.4">
      <c r="A114" s="26">
        <v>247</v>
      </c>
      <c r="B114" s="26" t="s">
        <v>363</v>
      </c>
      <c r="C114" s="26" t="s">
        <v>160</v>
      </c>
      <c r="D114" s="26" t="s">
        <v>159</v>
      </c>
      <c r="E114" s="26">
        <v>2</v>
      </c>
      <c r="F114" s="31">
        <v>100000</v>
      </c>
      <c r="G114" s="26" t="s">
        <v>133</v>
      </c>
      <c r="H114" s="26" t="s">
        <v>721</v>
      </c>
      <c r="I114" s="26" t="s">
        <v>722</v>
      </c>
      <c r="J114" s="31">
        <v>50000</v>
      </c>
      <c r="L114" s="32">
        <f>(J114*E114)</f>
        <v>100000</v>
      </c>
    </row>
    <row r="115" spans="1:12" s="20" customFormat="1" ht="15" customHeight="1" thickTop="1" thickBot="1" x14ac:dyDescent="0.4">
      <c r="A115" s="20">
        <v>251</v>
      </c>
      <c r="B115" s="20" t="s">
        <v>187</v>
      </c>
      <c r="C115" s="20" t="s">
        <v>188</v>
      </c>
      <c r="D115" s="20" t="s">
        <v>468</v>
      </c>
      <c r="E115" s="20">
        <v>1</v>
      </c>
      <c r="F115" s="21">
        <v>95000</v>
      </c>
      <c r="G115" s="20" t="s">
        <v>131</v>
      </c>
      <c r="H115" s="20">
        <v>19</v>
      </c>
      <c r="J115" s="21">
        <v>45000</v>
      </c>
      <c r="L115" s="17">
        <f>(J115*E115)</f>
        <v>45000</v>
      </c>
    </row>
    <row r="116" spans="1:12" s="26" customFormat="1" ht="15" customHeight="1" thickTop="1" thickBot="1" x14ac:dyDescent="0.4">
      <c r="A116" s="26">
        <v>254</v>
      </c>
      <c r="B116" s="26" t="s">
        <v>192</v>
      </c>
      <c r="C116" s="26" t="s">
        <v>193</v>
      </c>
      <c r="D116" s="26" t="s">
        <v>194</v>
      </c>
      <c r="E116" s="26">
        <v>1</v>
      </c>
      <c r="F116" s="31">
        <v>50000</v>
      </c>
      <c r="G116" s="26" t="s">
        <v>131</v>
      </c>
      <c r="H116" s="26">
        <v>18</v>
      </c>
      <c r="J116" s="31">
        <v>45000</v>
      </c>
      <c r="L116" s="32">
        <f>(J116*E116)</f>
        <v>45000</v>
      </c>
    </row>
    <row r="117" spans="1:12" s="24" customFormat="1" ht="15" thickTop="1" x14ac:dyDescent="0.35">
      <c r="A117" s="58">
        <v>255</v>
      </c>
      <c r="B117" s="58" t="s">
        <v>613</v>
      </c>
      <c r="C117" s="58" t="s">
        <v>230</v>
      </c>
      <c r="D117" s="58" t="s">
        <v>231</v>
      </c>
      <c r="E117" s="58">
        <v>1</v>
      </c>
      <c r="F117" s="59">
        <v>140000</v>
      </c>
      <c r="G117" s="58" t="s">
        <v>232</v>
      </c>
      <c r="H117" s="58">
        <v>2</v>
      </c>
      <c r="I117" s="58"/>
      <c r="J117" s="59"/>
      <c r="L117" s="35">
        <f>SUM(L21:L116)</f>
        <v>5484000</v>
      </c>
    </row>
    <row r="118" spans="1:12" s="15" customFormat="1" x14ac:dyDescent="0.35">
      <c r="A118" s="20">
        <f>(A117+1)</f>
        <v>256</v>
      </c>
      <c r="B118" s="20" t="s">
        <v>616</v>
      </c>
      <c r="C118" s="20" t="s">
        <v>230</v>
      </c>
      <c r="D118" s="20" t="s">
        <v>615</v>
      </c>
      <c r="E118" s="20">
        <v>2</v>
      </c>
      <c r="F118" s="21">
        <v>90000</v>
      </c>
      <c r="G118" s="20" t="s">
        <v>232</v>
      </c>
      <c r="H118" s="20">
        <v>2</v>
      </c>
      <c r="I118" s="20"/>
      <c r="J118" s="21"/>
      <c r="L118" s="17">
        <f>(J118*E118)</f>
        <v>0</v>
      </c>
    </row>
    <row r="119" spans="1:12" s="15" customFormat="1" x14ac:dyDescent="0.35">
      <c r="A119" s="20">
        <f t="shared" ref="A119:A124" si="0">(A118+1)</f>
        <v>257</v>
      </c>
      <c r="B119" s="20" t="s">
        <v>614</v>
      </c>
      <c r="C119" s="20" t="s">
        <v>230</v>
      </c>
      <c r="D119" s="20" t="s">
        <v>617</v>
      </c>
      <c r="E119" s="20">
        <v>1</v>
      </c>
      <c r="F119" s="21">
        <v>90000</v>
      </c>
      <c r="G119" s="20" t="s">
        <v>232</v>
      </c>
      <c r="H119" s="20">
        <v>2</v>
      </c>
      <c r="I119" s="20"/>
      <c r="J119" s="21"/>
      <c r="L119" s="17">
        <f>(J119*E119)</f>
        <v>0</v>
      </c>
    </row>
    <row r="120" spans="1:12" s="15" customFormat="1" ht="29" x14ac:dyDescent="0.35">
      <c r="A120" s="20">
        <f t="shared" si="0"/>
        <v>258</v>
      </c>
      <c r="B120" s="20" t="s">
        <v>619</v>
      </c>
      <c r="C120" s="20" t="s">
        <v>230</v>
      </c>
      <c r="D120" s="20" t="s">
        <v>618</v>
      </c>
      <c r="E120" s="20">
        <v>1</v>
      </c>
      <c r="F120" s="21">
        <v>90000</v>
      </c>
      <c r="G120" s="20" t="s">
        <v>232</v>
      </c>
      <c r="H120" s="20">
        <v>1</v>
      </c>
      <c r="I120" s="20"/>
      <c r="J120" s="21"/>
      <c r="L120" s="17">
        <f>(J120*E120)</f>
        <v>0</v>
      </c>
    </row>
    <row r="121" spans="1:12" s="18" customFormat="1" ht="29" x14ac:dyDescent="0.35">
      <c r="A121" s="51">
        <f t="shared" si="0"/>
        <v>259</v>
      </c>
      <c r="B121" s="51" t="s">
        <v>622</v>
      </c>
      <c r="C121" s="51" t="s">
        <v>230</v>
      </c>
      <c r="D121" s="62" t="s">
        <v>620</v>
      </c>
      <c r="E121" s="51">
        <v>1</v>
      </c>
      <c r="F121" s="57">
        <v>140000</v>
      </c>
      <c r="G121" s="51" t="s">
        <v>232</v>
      </c>
      <c r="H121" s="51">
        <v>1</v>
      </c>
      <c r="I121" s="51"/>
      <c r="J121" s="57"/>
      <c r="L121" s="19">
        <f>(J121*E121)</f>
        <v>0</v>
      </c>
    </row>
    <row r="122" spans="1:12" s="18" customFormat="1" ht="29" x14ac:dyDescent="0.35">
      <c r="A122" s="51">
        <f t="shared" si="0"/>
        <v>260</v>
      </c>
      <c r="B122" s="51" t="s">
        <v>623</v>
      </c>
      <c r="C122" s="51" t="s">
        <v>230</v>
      </c>
      <c r="D122" s="51" t="s">
        <v>621</v>
      </c>
      <c r="E122" s="51">
        <v>2</v>
      </c>
      <c r="F122" s="57">
        <v>190000</v>
      </c>
      <c r="G122" s="51" t="s">
        <v>232</v>
      </c>
      <c r="H122" s="51">
        <v>1</v>
      </c>
      <c r="I122" s="51"/>
      <c r="J122" s="57"/>
      <c r="L122" s="19">
        <f>(J122*E122)</f>
        <v>0</v>
      </c>
    </row>
    <row r="123" spans="1:12" s="15" customFormat="1" ht="29" x14ac:dyDescent="0.35">
      <c r="A123" s="20">
        <f t="shared" si="0"/>
        <v>261</v>
      </c>
      <c r="B123" s="20" t="s">
        <v>234</v>
      </c>
      <c r="C123" s="20" t="s">
        <v>230</v>
      </c>
      <c r="D123" s="20" t="s">
        <v>624</v>
      </c>
      <c r="E123" s="20">
        <v>3</v>
      </c>
      <c r="F123" s="21">
        <v>90000</v>
      </c>
      <c r="G123" s="20" t="s">
        <v>232</v>
      </c>
      <c r="H123" s="20">
        <v>1</v>
      </c>
      <c r="I123" s="20"/>
      <c r="J123" s="21"/>
      <c r="L123" s="17">
        <f>(J123*E123)</f>
        <v>0</v>
      </c>
    </row>
    <row r="124" spans="1:12" s="15" customFormat="1" ht="29.5" thickBot="1" x14ac:dyDescent="0.4">
      <c r="A124" s="20">
        <f t="shared" si="0"/>
        <v>262</v>
      </c>
      <c r="B124" s="20" t="s">
        <v>235</v>
      </c>
      <c r="C124" s="20" t="s">
        <v>230</v>
      </c>
      <c r="D124" s="20" t="s">
        <v>625</v>
      </c>
      <c r="E124" s="20">
        <v>7</v>
      </c>
      <c r="F124" s="21">
        <v>90000</v>
      </c>
      <c r="G124" s="20" t="s">
        <v>232</v>
      </c>
      <c r="H124" s="20">
        <v>1</v>
      </c>
      <c r="I124" s="20"/>
      <c r="J124" s="21"/>
      <c r="L124" s="17">
        <f>(J124*E124)</f>
        <v>0</v>
      </c>
    </row>
    <row r="125" spans="1:12" s="28" customFormat="1" ht="15" customHeight="1" thickTop="1" thickBot="1" x14ac:dyDescent="0.4">
      <c r="A125" s="28">
        <v>265</v>
      </c>
      <c r="B125" s="28" t="s">
        <v>237</v>
      </c>
      <c r="C125" s="28" t="s">
        <v>315</v>
      </c>
      <c r="D125" s="28" t="s">
        <v>238</v>
      </c>
      <c r="E125" s="28">
        <v>4</v>
      </c>
      <c r="F125" s="36">
        <v>70000</v>
      </c>
      <c r="G125" s="28" t="s">
        <v>232</v>
      </c>
      <c r="H125" s="28">
        <v>2</v>
      </c>
      <c r="J125" s="36"/>
      <c r="L125" s="33">
        <f>(J125*E125)</f>
        <v>0</v>
      </c>
    </row>
    <row r="126" spans="1:12" s="28" customFormat="1" ht="15" customHeight="1" thickTop="1" thickBot="1" x14ac:dyDescent="0.4">
      <c r="A126" s="28">
        <v>267</v>
      </c>
      <c r="B126" s="28" t="s">
        <v>183</v>
      </c>
      <c r="C126" s="28" t="s">
        <v>158</v>
      </c>
      <c r="D126" s="63" t="s">
        <v>157</v>
      </c>
      <c r="E126" s="28">
        <v>2</v>
      </c>
      <c r="F126" s="36">
        <v>100000</v>
      </c>
      <c r="G126" s="28" t="s">
        <v>232</v>
      </c>
      <c r="H126" s="28">
        <v>3</v>
      </c>
      <c r="J126" s="36"/>
      <c r="L126" s="33">
        <f>(J126*E126)</f>
        <v>0</v>
      </c>
    </row>
    <row r="127" spans="1:12" s="28" customFormat="1" ht="15" customHeight="1" thickTop="1" thickBot="1" x14ac:dyDescent="0.4">
      <c r="A127" s="28">
        <v>268</v>
      </c>
      <c r="B127" s="28" t="s">
        <v>239</v>
      </c>
      <c r="C127" s="28" t="s">
        <v>240</v>
      </c>
      <c r="D127" s="28" t="s">
        <v>241</v>
      </c>
      <c r="E127" s="28">
        <v>1</v>
      </c>
      <c r="F127" s="36">
        <v>120000</v>
      </c>
      <c r="G127" s="28" t="s">
        <v>232</v>
      </c>
      <c r="H127" s="28">
        <v>3</v>
      </c>
      <c r="J127" s="36"/>
      <c r="L127" s="33">
        <f>(J127*E127)</f>
        <v>0</v>
      </c>
    </row>
    <row r="128" spans="1:12" s="28" customFormat="1" ht="15.75" customHeight="1" thickTop="1" thickBot="1" x14ac:dyDescent="0.4">
      <c r="A128" s="28">
        <v>269</v>
      </c>
      <c r="B128" s="28" t="s">
        <v>242</v>
      </c>
      <c r="C128" s="28" t="s">
        <v>243</v>
      </c>
      <c r="D128" s="63" t="s">
        <v>244</v>
      </c>
      <c r="E128" s="28">
        <v>1</v>
      </c>
      <c r="F128" s="36">
        <v>80000</v>
      </c>
      <c r="G128" s="28" t="s">
        <v>232</v>
      </c>
      <c r="H128" s="28">
        <v>3</v>
      </c>
      <c r="J128" s="36"/>
      <c r="L128" s="33">
        <f>(J128*E128)</f>
        <v>0</v>
      </c>
    </row>
    <row r="129" spans="1:12" s="28" customFormat="1" ht="15" customHeight="1" thickTop="1" thickBot="1" x14ac:dyDescent="0.4">
      <c r="A129" s="28">
        <v>270</v>
      </c>
      <c r="B129" s="28" t="s">
        <v>245</v>
      </c>
      <c r="C129" s="28" t="s">
        <v>230</v>
      </c>
      <c r="D129" s="28" t="s">
        <v>246</v>
      </c>
      <c r="E129" s="28">
        <v>2</v>
      </c>
      <c r="F129" s="36">
        <v>110000</v>
      </c>
      <c r="G129" s="28" t="s">
        <v>232</v>
      </c>
      <c r="H129" s="28">
        <v>3</v>
      </c>
      <c r="J129" s="36"/>
      <c r="L129" s="33">
        <f>(J129*E129)</f>
        <v>0</v>
      </c>
    </row>
    <row r="130" spans="1:12" s="26" customFormat="1" ht="15" customHeight="1" thickTop="1" thickBot="1" x14ac:dyDescent="0.4">
      <c r="A130" s="26">
        <v>271</v>
      </c>
      <c r="B130" s="26" t="s">
        <v>627</v>
      </c>
      <c r="C130" s="26" t="s">
        <v>230</v>
      </c>
      <c r="D130" s="26" t="s">
        <v>626</v>
      </c>
      <c r="E130" s="26">
        <v>1</v>
      </c>
      <c r="F130" s="31">
        <v>110000</v>
      </c>
      <c r="G130" s="26" t="s">
        <v>232</v>
      </c>
      <c r="H130" s="26">
        <v>4</v>
      </c>
      <c r="J130" s="31"/>
      <c r="L130" s="32">
        <f>(J130*E130)</f>
        <v>0</v>
      </c>
    </row>
    <row r="131" spans="1:12" s="28" customFormat="1" ht="15" customHeight="1" thickTop="1" thickBot="1" x14ac:dyDescent="0.4">
      <c r="A131" s="28">
        <v>275</v>
      </c>
      <c r="B131" s="28" t="s">
        <v>249</v>
      </c>
      <c r="C131" s="28" t="s">
        <v>155</v>
      </c>
      <c r="D131" s="28" t="s">
        <v>248</v>
      </c>
      <c r="E131" s="28">
        <v>2</v>
      </c>
      <c r="F131" s="36">
        <v>60000</v>
      </c>
      <c r="G131" s="28" t="s">
        <v>232</v>
      </c>
      <c r="H131" s="28">
        <v>5</v>
      </c>
      <c r="J131" s="36"/>
      <c r="L131" s="33">
        <f>(J131*E131)</f>
        <v>0</v>
      </c>
    </row>
    <row r="132" spans="1:12" s="20" customFormat="1" ht="15" customHeight="1" thickTop="1" x14ac:dyDescent="0.35">
      <c r="A132" s="20">
        <v>278</v>
      </c>
      <c r="B132" s="20" t="s">
        <v>253</v>
      </c>
      <c r="C132" s="20" t="s">
        <v>158</v>
      </c>
      <c r="D132" s="20" t="s">
        <v>252</v>
      </c>
      <c r="E132" s="20">
        <v>1</v>
      </c>
      <c r="F132" s="21">
        <v>140000</v>
      </c>
      <c r="G132" s="20" t="s">
        <v>232</v>
      </c>
      <c r="H132" s="20">
        <v>1</v>
      </c>
      <c r="J132" s="21"/>
      <c r="L132" s="17">
        <f>(J132*E132)</f>
        <v>0</v>
      </c>
    </row>
    <row r="133" spans="1:12" s="20" customFormat="1" ht="15" customHeight="1" x14ac:dyDescent="0.35">
      <c r="A133" s="20">
        <v>279</v>
      </c>
      <c r="B133" s="20" t="s">
        <v>250</v>
      </c>
      <c r="C133" s="20" t="s">
        <v>227</v>
      </c>
      <c r="D133" s="20" t="s">
        <v>629</v>
      </c>
      <c r="E133" s="20">
        <v>1</v>
      </c>
      <c r="F133" s="21">
        <v>50000</v>
      </c>
      <c r="G133" s="20" t="s">
        <v>232</v>
      </c>
      <c r="H133" s="20" t="s">
        <v>227</v>
      </c>
      <c r="J133" s="21"/>
      <c r="L133" s="17">
        <f>(J133*E133)</f>
        <v>0</v>
      </c>
    </row>
    <row r="134" spans="1:12" s="20" customFormat="1" ht="15" customHeight="1" thickBot="1" x14ac:dyDescent="0.4">
      <c r="A134" s="20">
        <v>281</v>
      </c>
      <c r="B134" s="20" t="s">
        <v>254</v>
      </c>
      <c r="C134" s="20" t="s">
        <v>158</v>
      </c>
      <c r="D134" s="20" t="s">
        <v>251</v>
      </c>
      <c r="E134" s="20">
        <v>1</v>
      </c>
      <c r="F134" s="21">
        <v>120000</v>
      </c>
      <c r="G134" s="20" t="s">
        <v>232</v>
      </c>
      <c r="H134" s="20">
        <v>1</v>
      </c>
      <c r="J134" s="21"/>
      <c r="L134" s="17">
        <f>(J134*E134)</f>
        <v>0</v>
      </c>
    </row>
    <row r="135" spans="1:12" s="28" customFormat="1" ht="15.5" thickTop="1" thickBot="1" x14ac:dyDescent="0.4">
      <c r="A135" s="28">
        <v>284</v>
      </c>
      <c r="B135" s="28" t="s">
        <v>254</v>
      </c>
      <c r="C135" s="28" t="s">
        <v>10</v>
      </c>
      <c r="D135" s="28" t="s">
        <v>261</v>
      </c>
      <c r="E135" s="28">
        <v>4</v>
      </c>
      <c r="F135" s="36">
        <v>50000</v>
      </c>
      <c r="G135" s="28" t="s">
        <v>651</v>
      </c>
      <c r="H135" s="28" t="s">
        <v>257</v>
      </c>
      <c r="J135" s="36"/>
      <c r="L135" s="33">
        <v>26000</v>
      </c>
    </row>
    <row r="136" spans="1:12" s="28" customFormat="1" ht="15.5" thickTop="1" thickBot="1" x14ac:dyDescent="0.4">
      <c r="A136" s="28">
        <v>285</v>
      </c>
      <c r="B136" s="28" t="s">
        <v>258</v>
      </c>
      <c r="C136" s="28" t="s">
        <v>114</v>
      </c>
      <c r="D136" s="28" t="s">
        <v>256</v>
      </c>
      <c r="E136" s="28">
        <v>1</v>
      </c>
      <c r="F136" s="36">
        <v>70000</v>
      </c>
      <c r="G136" s="28" t="s">
        <v>232</v>
      </c>
      <c r="H136" s="28" t="s">
        <v>257</v>
      </c>
      <c r="J136" s="36"/>
      <c r="L136" s="33">
        <f>(J136*E136)</f>
        <v>0</v>
      </c>
    </row>
    <row r="137" spans="1:12" s="28" customFormat="1" ht="15.5" thickTop="1" thickBot="1" x14ac:dyDescent="0.4">
      <c r="A137" s="28">
        <v>286</v>
      </c>
      <c r="B137" s="28" t="s">
        <v>260</v>
      </c>
      <c r="C137" s="28" t="s">
        <v>114</v>
      </c>
      <c r="D137" s="28" t="s">
        <v>259</v>
      </c>
      <c r="E137" s="28">
        <v>28</v>
      </c>
      <c r="F137" s="36">
        <v>50000</v>
      </c>
      <c r="G137" s="28" t="s">
        <v>232</v>
      </c>
      <c r="H137" s="28" t="s">
        <v>295</v>
      </c>
      <c r="J137" s="36"/>
      <c r="L137" s="33">
        <f>(J137*E137)</f>
        <v>0</v>
      </c>
    </row>
    <row r="138" spans="1:12" s="28" customFormat="1" ht="15.5" thickTop="1" thickBot="1" x14ac:dyDescent="0.4">
      <c r="A138" s="28">
        <v>287</v>
      </c>
      <c r="B138" s="28" t="s">
        <v>255</v>
      </c>
      <c r="C138" s="28" t="s">
        <v>114</v>
      </c>
      <c r="D138" s="63" t="s">
        <v>256</v>
      </c>
      <c r="E138" s="28">
        <v>1</v>
      </c>
      <c r="F138" s="36">
        <v>50000</v>
      </c>
      <c r="G138" s="28" t="s">
        <v>232</v>
      </c>
      <c r="H138" s="28" t="s">
        <v>257</v>
      </c>
      <c r="J138" s="36"/>
      <c r="L138" s="33">
        <f>(J138*E138)</f>
        <v>0</v>
      </c>
    </row>
    <row r="139" spans="1:12" s="28" customFormat="1" ht="15.5" thickTop="1" thickBot="1" x14ac:dyDescent="0.4">
      <c r="A139" s="28">
        <v>288</v>
      </c>
      <c r="B139" s="28" t="s">
        <v>377</v>
      </c>
      <c r="C139" s="28" t="s">
        <v>10</v>
      </c>
      <c r="D139" s="28" t="s">
        <v>376</v>
      </c>
      <c r="E139" s="28">
        <v>1</v>
      </c>
      <c r="F139" s="36">
        <v>50000</v>
      </c>
      <c r="G139" s="28" t="s">
        <v>232</v>
      </c>
      <c r="H139" s="28" t="s">
        <v>257</v>
      </c>
      <c r="J139" s="36"/>
      <c r="L139" s="33">
        <f>(J139*E139)</f>
        <v>0</v>
      </c>
    </row>
    <row r="140" spans="1:12" s="28" customFormat="1" ht="15.5" thickTop="1" thickBot="1" x14ac:dyDescent="0.4">
      <c r="A140" s="28">
        <v>289</v>
      </c>
      <c r="B140" s="28" t="s">
        <v>262</v>
      </c>
      <c r="C140" s="28" t="s">
        <v>263</v>
      </c>
      <c r="D140" s="28" t="s">
        <v>233</v>
      </c>
      <c r="E140" s="28">
        <v>1</v>
      </c>
      <c r="F140" s="36">
        <v>50000</v>
      </c>
      <c r="G140" s="28" t="s">
        <v>232</v>
      </c>
      <c r="H140" s="28" t="s">
        <v>257</v>
      </c>
      <c r="J140" s="36"/>
      <c r="L140" s="33">
        <f>(J140*E140)</f>
        <v>0</v>
      </c>
    </row>
    <row r="141" spans="1:12" s="28" customFormat="1" ht="15.5" thickTop="1" thickBot="1" x14ac:dyDescent="0.4">
      <c r="A141" s="28">
        <v>290</v>
      </c>
      <c r="B141" s="28" t="s">
        <v>264</v>
      </c>
      <c r="C141" s="28" t="s">
        <v>144</v>
      </c>
      <c r="D141" s="28" t="s">
        <v>266</v>
      </c>
      <c r="E141" s="28">
        <v>1</v>
      </c>
      <c r="F141" s="36">
        <v>100000</v>
      </c>
      <c r="G141" s="28" t="s">
        <v>232</v>
      </c>
      <c r="H141" s="28" t="s">
        <v>257</v>
      </c>
      <c r="J141" s="36">
        <v>0</v>
      </c>
      <c r="L141" s="33">
        <f>(J141*E141)</f>
        <v>0</v>
      </c>
    </row>
    <row r="142" spans="1:12" s="28" customFormat="1" ht="30" thickTop="1" thickBot="1" x14ac:dyDescent="0.4">
      <c r="A142" s="28">
        <v>291</v>
      </c>
      <c r="C142" s="28" t="s">
        <v>10</v>
      </c>
      <c r="D142" s="28" t="s">
        <v>265</v>
      </c>
      <c r="E142" s="28">
        <v>1</v>
      </c>
      <c r="F142" s="36">
        <v>50000</v>
      </c>
      <c r="G142" s="28" t="s">
        <v>232</v>
      </c>
      <c r="H142" s="28" t="s">
        <v>257</v>
      </c>
      <c r="J142" s="36"/>
      <c r="L142" s="33">
        <f>(J142*E142)</f>
        <v>0</v>
      </c>
    </row>
    <row r="143" spans="1:12" s="28" customFormat="1" ht="15.5" thickTop="1" thickBot="1" x14ac:dyDescent="0.4">
      <c r="A143" s="28">
        <v>292</v>
      </c>
      <c r="B143" s="28" t="s">
        <v>268</v>
      </c>
      <c r="C143" s="28" t="s">
        <v>10</v>
      </c>
      <c r="D143" s="28" t="s">
        <v>267</v>
      </c>
      <c r="E143" s="28">
        <v>1</v>
      </c>
      <c r="F143" s="36">
        <v>70000</v>
      </c>
      <c r="G143" s="28" t="s">
        <v>232</v>
      </c>
      <c r="H143" s="28" t="s">
        <v>257</v>
      </c>
      <c r="J143" s="36"/>
      <c r="L143" s="33">
        <f>(J143*E143)</f>
        <v>0</v>
      </c>
    </row>
    <row r="144" spans="1:12" s="28" customFormat="1" ht="15.5" thickTop="1" thickBot="1" x14ac:dyDescent="0.4">
      <c r="A144" s="28">
        <v>293</v>
      </c>
      <c r="B144" s="28" t="s">
        <v>269</v>
      </c>
      <c r="C144" s="28" t="s">
        <v>10</v>
      </c>
      <c r="D144" s="28" t="s">
        <v>630</v>
      </c>
      <c r="E144" s="28">
        <v>1</v>
      </c>
      <c r="F144" s="36">
        <v>60000</v>
      </c>
      <c r="G144" s="28" t="s">
        <v>232</v>
      </c>
      <c r="H144" s="28" t="s">
        <v>257</v>
      </c>
      <c r="J144" s="36"/>
      <c r="L144" s="33">
        <f>(J144*E144)</f>
        <v>0</v>
      </c>
    </row>
    <row r="145" spans="1:12" s="28" customFormat="1" ht="15.5" thickTop="1" thickBot="1" x14ac:dyDescent="0.4">
      <c r="A145" s="28">
        <v>294</v>
      </c>
      <c r="B145" s="28" t="s">
        <v>270</v>
      </c>
      <c r="C145" s="28" t="s">
        <v>114</v>
      </c>
      <c r="D145" s="28" t="s">
        <v>631</v>
      </c>
      <c r="E145" s="28">
        <v>1</v>
      </c>
      <c r="F145" s="36">
        <v>120000</v>
      </c>
      <c r="G145" s="28" t="s">
        <v>232</v>
      </c>
      <c r="H145" s="28" t="s">
        <v>257</v>
      </c>
      <c r="J145" s="36"/>
      <c r="L145" s="33">
        <f>(J145*E145)</f>
        <v>0</v>
      </c>
    </row>
    <row r="146" spans="1:12" s="28" customFormat="1" ht="15.5" thickTop="1" thickBot="1" x14ac:dyDescent="0.4">
      <c r="A146" s="28">
        <v>295</v>
      </c>
      <c r="B146" s="28" t="s">
        <v>271</v>
      </c>
      <c r="C146" s="28" t="s">
        <v>10</v>
      </c>
      <c r="D146" s="28" t="s">
        <v>445</v>
      </c>
      <c r="E146" s="28">
        <v>4</v>
      </c>
      <c r="F146" s="36">
        <v>70000</v>
      </c>
      <c r="G146" s="28" t="s">
        <v>232</v>
      </c>
      <c r="H146" s="28" t="s">
        <v>257</v>
      </c>
      <c r="J146" s="36"/>
      <c r="L146" s="33">
        <f>(J146*E146)</f>
        <v>0</v>
      </c>
    </row>
    <row r="147" spans="1:12" s="28" customFormat="1" ht="15.5" thickTop="1" thickBot="1" x14ac:dyDescent="0.4">
      <c r="A147" s="28">
        <v>296</v>
      </c>
      <c r="B147" s="28" t="s">
        <v>254</v>
      </c>
      <c r="C147" s="28" t="s">
        <v>10</v>
      </c>
      <c r="D147" s="28" t="s">
        <v>632</v>
      </c>
      <c r="E147" s="28">
        <v>1</v>
      </c>
      <c r="F147" s="36">
        <v>50000</v>
      </c>
      <c r="G147" s="28" t="s">
        <v>232</v>
      </c>
      <c r="H147" s="28" t="s">
        <v>257</v>
      </c>
      <c r="J147" s="36"/>
      <c r="L147" s="33">
        <f>(J147*E147)</f>
        <v>0</v>
      </c>
    </row>
    <row r="148" spans="1:12" s="28" customFormat="1" ht="15.5" thickTop="1" thickBot="1" x14ac:dyDescent="0.4">
      <c r="A148" s="28">
        <v>297</v>
      </c>
      <c r="B148" s="28" t="s">
        <v>272</v>
      </c>
      <c r="C148" s="28" t="s">
        <v>274</v>
      </c>
      <c r="D148" s="28" t="s">
        <v>273</v>
      </c>
      <c r="E148" s="28">
        <v>5</v>
      </c>
      <c r="F148" s="36">
        <v>60000</v>
      </c>
      <c r="G148" s="28" t="s">
        <v>232</v>
      </c>
      <c r="H148" s="28" t="s">
        <v>257</v>
      </c>
      <c r="J148" s="36"/>
      <c r="L148" s="33">
        <f>(J148*E148)</f>
        <v>0</v>
      </c>
    </row>
    <row r="149" spans="1:12" s="28" customFormat="1" ht="15.5" thickTop="1" thickBot="1" x14ac:dyDescent="0.4">
      <c r="A149" s="28">
        <v>298</v>
      </c>
      <c r="B149" s="28" t="s">
        <v>469</v>
      </c>
      <c r="C149" s="28" t="s">
        <v>274</v>
      </c>
      <c r="D149" s="28" t="s">
        <v>275</v>
      </c>
      <c r="E149" s="28">
        <v>14</v>
      </c>
      <c r="F149" s="36">
        <v>70000</v>
      </c>
      <c r="G149" s="28" t="s">
        <v>232</v>
      </c>
      <c r="H149" s="28" t="s">
        <v>295</v>
      </c>
      <c r="J149" s="36"/>
      <c r="L149" s="33">
        <f>(J149*E149)</f>
        <v>0</v>
      </c>
    </row>
    <row r="150" spans="1:12" s="28" customFormat="1" ht="15.5" thickTop="1" thickBot="1" x14ac:dyDescent="0.4">
      <c r="A150" s="28">
        <v>299</v>
      </c>
      <c r="B150" s="28" t="s">
        <v>277</v>
      </c>
      <c r="C150" s="28" t="s">
        <v>274</v>
      </c>
      <c r="D150" s="28" t="s">
        <v>276</v>
      </c>
      <c r="E150" s="28">
        <v>4</v>
      </c>
      <c r="F150" s="36">
        <v>70000</v>
      </c>
      <c r="G150" s="28" t="s">
        <v>232</v>
      </c>
      <c r="H150" s="28" t="s">
        <v>257</v>
      </c>
      <c r="J150" s="36"/>
      <c r="L150" s="33">
        <f>(J150*E150)</f>
        <v>0</v>
      </c>
    </row>
    <row r="151" spans="1:12" s="28" customFormat="1" ht="15.5" thickTop="1" thickBot="1" x14ac:dyDescent="0.4">
      <c r="A151" s="28">
        <v>300</v>
      </c>
      <c r="B151" s="28" t="s">
        <v>148</v>
      </c>
      <c r="C151" s="28" t="s">
        <v>10</v>
      </c>
      <c r="D151" s="28" t="s">
        <v>278</v>
      </c>
      <c r="E151" s="28">
        <v>1</v>
      </c>
      <c r="F151" s="36">
        <v>70000</v>
      </c>
      <c r="G151" s="28" t="s">
        <v>232</v>
      </c>
      <c r="H151" s="28" t="s">
        <v>257</v>
      </c>
      <c r="J151" s="36"/>
      <c r="L151" s="33">
        <f>(J151*E151)</f>
        <v>0</v>
      </c>
    </row>
    <row r="152" spans="1:12" s="28" customFormat="1" ht="15.5" thickTop="1" thickBot="1" x14ac:dyDescent="0.4">
      <c r="A152" s="28">
        <v>301</v>
      </c>
      <c r="B152" s="28" t="s">
        <v>280</v>
      </c>
      <c r="C152" s="28" t="s">
        <v>281</v>
      </c>
      <c r="D152" s="28" t="s">
        <v>279</v>
      </c>
      <c r="E152" s="28">
        <v>1</v>
      </c>
      <c r="F152" s="36">
        <v>70000</v>
      </c>
      <c r="G152" s="28" t="s">
        <v>232</v>
      </c>
      <c r="H152" s="28" t="s">
        <v>257</v>
      </c>
      <c r="J152" s="36"/>
      <c r="L152" s="33">
        <f>(J152*E152)</f>
        <v>0</v>
      </c>
    </row>
    <row r="153" spans="1:12" s="28" customFormat="1" ht="15.5" thickTop="1" thickBot="1" x14ac:dyDescent="0.4">
      <c r="A153" s="28">
        <v>302</v>
      </c>
      <c r="B153" s="28" t="s">
        <v>151</v>
      </c>
      <c r="C153" s="28" t="s">
        <v>10</v>
      </c>
      <c r="D153" s="28" t="s">
        <v>282</v>
      </c>
      <c r="E153" s="28">
        <v>1</v>
      </c>
      <c r="F153" s="36">
        <v>50000</v>
      </c>
      <c r="G153" s="28" t="s">
        <v>232</v>
      </c>
      <c r="H153" s="28" t="s">
        <v>257</v>
      </c>
      <c r="J153" s="36"/>
      <c r="L153" s="33">
        <f>(J153*E153)</f>
        <v>0</v>
      </c>
    </row>
    <row r="154" spans="1:12" s="28" customFormat="1" ht="15.5" thickTop="1" thickBot="1" x14ac:dyDescent="0.4">
      <c r="A154" s="28">
        <v>303</v>
      </c>
      <c r="B154" s="28" t="s">
        <v>283</v>
      </c>
      <c r="C154" s="28" t="s">
        <v>114</v>
      </c>
      <c r="D154" s="63" t="s">
        <v>284</v>
      </c>
      <c r="E154" s="28">
        <v>1</v>
      </c>
      <c r="F154" s="36">
        <v>70000</v>
      </c>
      <c r="G154" s="28" t="s">
        <v>232</v>
      </c>
      <c r="H154" s="28" t="s">
        <v>257</v>
      </c>
      <c r="J154" s="36"/>
      <c r="L154" s="33">
        <f>(J154*E154)</f>
        <v>0</v>
      </c>
    </row>
    <row r="155" spans="1:12" s="28" customFormat="1" ht="15.5" thickTop="1" thickBot="1" x14ac:dyDescent="0.4">
      <c r="A155" s="28">
        <v>304</v>
      </c>
      <c r="B155" s="28" t="s">
        <v>633</v>
      </c>
      <c r="C155" s="28" t="s">
        <v>286</v>
      </c>
      <c r="D155" s="28" t="s">
        <v>285</v>
      </c>
      <c r="E155" s="28">
        <v>1</v>
      </c>
      <c r="F155" s="36">
        <v>70000</v>
      </c>
      <c r="G155" s="28" t="s">
        <v>232</v>
      </c>
      <c r="H155" s="28" t="s">
        <v>257</v>
      </c>
      <c r="J155" s="36"/>
      <c r="L155" s="33">
        <f>(J155*E155)</f>
        <v>0</v>
      </c>
    </row>
    <row r="156" spans="1:12" s="28" customFormat="1" ht="30" thickTop="1" thickBot="1" x14ac:dyDescent="0.4">
      <c r="A156" s="28">
        <v>305</v>
      </c>
      <c r="B156" s="28" t="s">
        <v>288</v>
      </c>
      <c r="C156" s="28" t="s">
        <v>10</v>
      </c>
      <c r="D156" s="28" t="s">
        <v>287</v>
      </c>
      <c r="E156" s="28">
        <v>2</v>
      </c>
      <c r="F156" s="36">
        <v>70000</v>
      </c>
      <c r="G156" s="28" t="s">
        <v>232</v>
      </c>
      <c r="H156" s="28" t="s">
        <v>257</v>
      </c>
      <c r="J156" s="36"/>
      <c r="L156" s="33">
        <f>(J156*E156)</f>
        <v>0</v>
      </c>
    </row>
    <row r="157" spans="1:12" s="28" customFormat="1" ht="15.5" thickTop="1" thickBot="1" x14ac:dyDescent="0.4">
      <c r="A157" s="28">
        <v>306</v>
      </c>
      <c r="B157" s="28" t="s">
        <v>254</v>
      </c>
      <c r="C157" s="28" t="s">
        <v>281</v>
      </c>
      <c r="D157" s="28" t="s">
        <v>289</v>
      </c>
      <c r="E157" s="28">
        <v>8</v>
      </c>
      <c r="F157" s="36">
        <v>70000</v>
      </c>
      <c r="G157" s="28" t="s">
        <v>232</v>
      </c>
      <c r="H157" s="28" t="s">
        <v>257</v>
      </c>
      <c r="J157" s="36"/>
      <c r="L157" s="33">
        <f>(J157*E157)</f>
        <v>0</v>
      </c>
    </row>
    <row r="158" spans="1:12" s="28" customFormat="1" ht="15.5" thickTop="1" thickBot="1" x14ac:dyDescent="0.4">
      <c r="A158" s="28">
        <v>307</v>
      </c>
      <c r="B158" s="28" t="s">
        <v>634</v>
      </c>
      <c r="C158" s="28" t="s">
        <v>281</v>
      </c>
      <c r="D158" s="28" t="s">
        <v>290</v>
      </c>
      <c r="E158" s="28">
        <v>3</v>
      </c>
      <c r="F158" s="36">
        <v>70000</v>
      </c>
      <c r="G158" s="28" t="s">
        <v>232</v>
      </c>
      <c r="H158" s="28" t="s">
        <v>257</v>
      </c>
      <c r="J158" s="36"/>
      <c r="L158" s="33">
        <f>(J158*E158)</f>
        <v>0</v>
      </c>
    </row>
    <row r="159" spans="1:12" s="28" customFormat="1" ht="30" thickTop="1" thickBot="1" x14ac:dyDescent="0.4">
      <c r="A159" s="28">
        <v>308</v>
      </c>
      <c r="B159" s="28" t="s">
        <v>254</v>
      </c>
      <c r="C159" s="28" t="s">
        <v>281</v>
      </c>
      <c r="D159" s="28" t="s">
        <v>291</v>
      </c>
      <c r="E159" s="28">
        <v>1</v>
      </c>
      <c r="F159" s="36">
        <v>50000</v>
      </c>
      <c r="G159" s="28" t="s">
        <v>232</v>
      </c>
      <c r="H159" s="28" t="s">
        <v>257</v>
      </c>
      <c r="J159" s="36"/>
      <c r="L159" s="33">
        <f>(J159*E159)</f>
        <v>0</v>
      </c>
    </row>
    <row r="160" spans="1:12" s="28" customFormat="1" ht="15.5" thickTop="1" thickBot="1" x14ac:dyDescent="0.4">
      <c r="A160" s="28">
        <v>309</v>
      </c>
      <c r="B160" s="28" t="s">
        <v>292</v>
      </c>
      <c r="C160" s="28" t="s">
        <v>114</v>
      </c>
      <c r="D160" s="28" t="s">
        <v>289</v>
      </c>
      <c r="E160" s="28">
        <v>1</v>
      </c>
      <c r="F160" s="36">
        <v>50000</v>
      </c>
      <c r="G160" s="28" t="s">
        <v>232</v>
      </c>
      <c r="H160" s="28" t="s">
        <v>257</v>
      </c>
      <c r="J160" s="36"/>
      <c r="L160" s="33">
        <f>(J160*E160)</f>
        <v>0</v>
      </c>
    </row>
    <row r="161" spans="1:12" s="28" customFormat="1" ht="30" thickTop="1" thickBot="1" x14ac:dyDescent="0.4">
      <c r="A161" s="28">
        <v>310</v>
      </c>
      <c r="B161" s="28" t="s">
        <v>294</v>
      </c>
      <c r="C161" s="28" t="s">
        <v>293</v>
      </c>
      <c r="D161" s="28" t="s">
        <v>296</v>
      </c>
      <c r="E161" s="28">
        <v>1</v>
      </c>
      <c r="F161" s="36">
        <v>70000</v>
      </c>
      <c r="G161" s="28" t="s">
        <v>232</v>
      </c>
      <c r="H161" s="28" t="s">
        <v>295</v>
      </c>
      <c r="J161" s="36"/>
      <c r="L161" s="33">
        <f>(J161*E161)</f>
        <v>0</v>
      </c>
    </row>
    <row r="162" spans="1:12" s="28" customFormat="1" ht="30" thickTop="1" thickBot="1" x14ac:dyDescent="0.4">
      <c r="A162" s="28">
        <v>311</v>
      </c>
      <c r="B162" s="28" t="s">
        <v>298</v>
      </c>
      <c r="C162" s="28" t="s">
        <v>293</v>
      </c>
      <c r="D162" s="28" t="s">
        <v>297</v>
      </c>
      <c r="E162" s="28">
        <v>1</v>
      </c>
      <c r="F162" s="36">
        <v>70000</v>
      </c>
      <c r="G162" s="28" t="s">
        <v>232</v>
      </c>
      <c r="H162" s="28" t="s">
        <v>295</v>
      </c>
      <c r="J162" s="36"/>
      <c r="L162" s="33">
        <f>(J162*E162)</f>
        <v>0</v>
      </c>
    </row>
    <row r="163" spans="1:12" s="28" customFormat="1" ht="30" thickTop="1" thickBot="1" x14ac:dyDescent="0.4">
      <c r="A163" s="28">
        <v>312</v>
      </c>
      <c r="B163" s="28" t="s">
        <v>655</v>
      </c>
      <c r="C163" s="28" t="s">
        <v>114</v>
      </c>
      <c r="D163" s="28" t="s">
        <v>489</v>
      </c>
      <c r="E163" s="28">
        <v>5</v>
      </c>
      <c r="F163" s="36">
        <v>70000</v>
      </c>
      <c r="G163" s="28" t="s">
        <v>232</v>
      </c>
      <c r="H163" s="28" t="s">
        <v>366</v>
      </c>
      <c r="J163" s="36"/>
      <c r="L163" s="33">
        <f>(J163*E163)</f>
        <v>0</v>
      </c>
    </row>
    <row r="164" spans="1:12" s="28" customFormat="1" ht="15.5" thickTop="1" thickBot="1" x14ac:dyDescent="0.4">
      <c r="A164" s="28">
        <v>313</v>
      </c>
      <c r="B164" s="28" t="s">
        <v>300</v>
      </c>
      <c r="C164" s="28" t="s">
        <v>114</v>
      </c>
      <c r="D164" s="28" t="s">
        <v>299</v>
      </c>
      <c r="E164" s="28">
        <v>9</v>
      </c>
      <c r="F164" s="36">
        <v>55000</v>
      </c>
      <c r="G164" s="28" t="s">
        <v>232</v>
      </c>
      <c r="H164" s="28" t="s">
        <v>295</v>
      </c>
      <c r="J164" s="36"/>
      <c r="L164" s="33">
        <f>(J164*E164)</f>
        <v>0</v>
      </c>
    </row>
    <row r="165" spans="1:12" s="28" customFormat="1" ht="15.5" thickTop="1" thickBot="1" x14ac:dyDescent="0.4">
      <c r="A165" s="28">
        <v>314</v>
      </c>
      <c r="B165" s="28" t="s">
        <v>694</v>
      </c>
      <c r="C165" s="28" t="s">
        <v>301</v>
      </c>
      <c r="D165" s="28" t="s">
        <v>585</v>
      </c>
      <c r="E165" s="28">
        <v>14</v>
      </c>
      <c r="F165" s="36">
        <v>50000</v>
      </c>
      <c r="G165" s="28" t="s">
        <v>232</v>
      </c>
      <c r="H165" s="28" t="s">
        <v>295</v>
      </c>
      <c r="J165" s="36"/>
      <c r="L165" s="33">
        <f>(J165*E165)</f>
        <v>0</v>
      </c>
    </row>
    <row r="166" spans="1:12" s="26" customFormat="1" ht="30" thickTop="1" thickBot="1" x14ac:dyDescent="0.4">
      <c r="A166" s="26">
        <v>316</v>
      </c>
      <c r="B166" s="26" t="s">
        <v>393</v>
      </c>
      <c r="C166" s="26" t="s">
        <v>227</v>
      </c>
      <c r="D166" s="26" t="s">
        <v>394</v>
      </c>
      <c r="E166" s="26">
        <v>2</v>
      </c>
      <c r="F166" s="31">
        <v>70000</v>
      </c>
      <c r="G166" s="26" t="s">
        <v>303</v>
      </c>
      <c r="H166" s="26">
        <v>1</v>
      </c>
      <c r="J166" s="31"/>
      <c r="L166" s="32">
        <f>(J166*E166)</f>
        <v>0</v>
      </c>
    </row>
    <row r="167" spans="1:12" s="26" customFormat="1" ht="15.5" thickTop="1" thickBot="1" x14ac:dyDescent="0.4">
      <c r="A167" s="26">
        <v>317</v>
      </c>
      <c r="B167" s="26" t="s">
        <v>378</v>
      </c>
      <c r="C167" s="26" t="s">
        <v>306</v>
      </c>
      <c r="D167" s="26" t="s">
        <v>399</v>
      </c>
      <c r="E167" s="26">
        <v>1</v>
      </c>
      <c r="F167" s="31">
        <v>50000</v>
      </c>
      <c r="G167" s="26" t="s">
        <v>303</v>
      </c>
      <c r="H167" s="26">
        <v>3</v>
      </c>
      <c r="J167" s="31"/>
    </row>
    <row r="168" spans="1:12" s="26" customFormat="1" ht="30" thickTop="1" thickBot="1" x14ac:dyDescent="0.4">
      <c r="A168" s="26">
        <v>318</v>
      </c>
      <c r="B168" s="26" t="s">
        <v>304</v>
      </c>
      <c r="C168" s="26" t="s">
        <v>396</v>
      </c>
      <c r="D168" s="26" t="s">
        <v>395</v>
      </c>
      <c r="E168" s="26">
        <v>1</v>
      </c>
      <c r="F168" s="31">
        <v>50000</v>
      </c>
      <c r="G168" s="26" t="s">
        <v>303</v>
      </c>
      <c r="H168" s="26">
        <v>1</v>
      </c>
      <c r="J168" s="31"/>
      <c r="L168" s="32">
        <f>(J168*E168)</f>
        <v>0</v>
      </c>
    </row>
    <row r="169" spans="1:12" s="26" customFormat="1" ht="30" thickTop="1" thickBot="1" x14ac:dyDescent="0.4">
      <c r="A169" s="26">
        <v>319</v>
      </c>
      <c r="B169" s="26" t="s">
        <v>305</v>
      </c>
      <c r="C169" s="26" t="s">
        <v>398</v>
      </c>
      <c r="D169" s="26" t="s">
        <v>397</v>
      </c>
      <c r="E169" s="26">
        <v>1</v>
      </c>
      <c r="F169" s="31">
        <v>40000</v>
      </c>
      <c r="G169" s="26" t="s">
        <v>303</v>
      </c>
      <c r="H169" s="26">
        <v>2</v>
      </c>
      <c r="J169" s="31"/>
      <c r="L169" s="32">
        <v>0</v>
      </c>
    </row>
    <row r="170" spans="1:12" s="26" customFormat="1" ht="15.5" thickTop="1" thickBot="1" x14ac:dyDescent="0.4">
      <c r="A170" s="26">
        <v>320</v>
      </c>
      <c r="B170" s="26" t="s">
        <v>307</v>
      </c>
      <c r="C170" s="26" t="s">
        <v>308</v>
      </c>
      <c r="D170" s="26" t="s">
        <v>412</v>
      </c>
      <c r="E170" s="26">
        <v>1</v>
      </c>
      <c r="F170" s="31">
        <v>50000</v>
      </c>
      <c r="G170" s="26" t="s">
        <v>303</v>
      </c>
      <c r="H170" s="26">
        <v>1</v>
      </c>
      <c r="J170" s="31"/>
      <c r="L170" s="32">
        <f>(J170*E170)</f>
        <v>0</v>
      </c>
    </row>
    <row r="171" spans="1:12" s="26" customFormat="1" ht="15.5" thickTop="1" thickBot="1" x14ac:dyDescent="0.4">
      <c r="A171" s="26">
        <v>321</v>
      </c>
      <c r="B171" s="26" t="s">
        <v>380</v>
      </c>
      <c r="C171" s="26" t="s">
        <v>400</v>
      </c>
      <c r="D171" s="26" t="s">
        <v>379</v>
      </c>
      <c r="E171" s="26">
        <v>1</v>
      </c>
      <c r="F171" s="31">
        <v>50000</v>
      </c>
      <c r="G171" s="26" t="s">
        <v>303</v>
      </c>
      <c r="H171" s="26">
        <v>4</v>
      </c>
      <c r="J171" s="31"/>
      <c r="L171" s="32">
        <f>(J171*E171)</f>
        <v>0</v>
      </c>
    </row>
    <row r="172" spans="1:12" s="26" customFormat="1" ht="30" thickTop="1" thickBot="1" x14ac:dyDescent="0.4">
      <c r="A172" s="26">
        <v>323</v>
      </c>
      <c r="B172" s="26" t="s">
        <v>309</v>
      </c>
      <c r="C172" s="26" t="s">
        <v>401</v>
      </c>
      <c r="D172" s="26" t="s">
        <v>691</v>
      </c>
      <c r="E172" s="26">
        <v>1</v>
      </c>
      <c r="F172" s="31">
        <v>50000</v>
      </c>
      <c r="G172" s="26" t="s">
        <v>303</v>
      </c>
      <c r="H172" s="26">
        <v>4</v>
      </c>
      <c r="J172" s="31"/>
      <c r="L172" s="32">
        <f>(J172*E172)</f>
        <v>0</v>
      </c>
    </row>
    <row r="173" spans="1:12" s="26" customFormat="1" ht="59" thickTop="1" thickBot="1" x14ac:dyDescent="0.4">
      <c r="A173" s="26">
        <v>324</v>
      </c>
      <c r="B173" s="26" t="s">
        <v>690</v>
      </c>
      <c r="C173" s="26" t="s">
        <v>403</v>
      </c>
      <c r="D173" s="26" t="s">
        <v>402</v>
      </c>
      <c r="E173" s="26">
        <v>1</v>
      </c>
      <c r="F173" s="31">
        <v>40000</v>
      </c>
      <c r="G173" s="26" t="s">
        <v>303</v>
      </c>
      <c r="H173" s="26">
        <v>1</v>
      </c>
      <c r="J173" s="31"/>
      <c r="L173" s="32">
        <f>(J173*E173)</f>
        <v>0</v>
      </c>
    </row>
    <row r="174" spans="1:12" s="26" customFormat="1" ht="30" thickTop="1" thickBot="1" x14ac:dyDescent="0.4">
      <c r="A174" s="26">
        <v>325</v>
      </c>
      <c r="B174" s="26" t="s">
        <v>693</v>
      </c>
      <c r="C174" s="26" t="s">
        <v>310</v>
      </c>
      <c r="D174" s="26" t="s">
        <v>692</v>
      </c>
      <c r="E174" s="26">
        <v>1</v>
      </c>
      <c r="F174" s="31">
        <v>50000</v>
      </c>
      <c r="G174" s="26" t="s">
        <v>303</v>
      </c>
      <c r="H174" s="26">
        <v>4</v>
      </c>
      <c r="J174" s="31"/>
      <c r="L174" s="32">
        <f>(J174*E174)</f>
        <v>0</v>
      </c>
    </row>
    <row r="175" spans="1:12" s="26" customFormat="1" ht="15.5" thickTop="1" thickBot="1" x14ac:dyDescent="0.4">
      <c r="A175" s="26">
        <v>327</v>
      </c>
      <c r="B175" s="26" t="s">
        <v>364</v>
      </c>
      <c r="C175" s="26" t="s">
        <v>311</v>
      </c>
      <c r="D175" s="26" t="s">
        <v>384</v>
      </c>
      <c r="E175" s="26">
        <v>1</v>
      </c>
      <c r="F175" s="31">
        <v>50000</v>
      </c>
      <c r="G175" s="26" t="s">
        <v>303</v>
      </c>
      <c r="H175" s="26">
        <v>4</v>
      </c>
      <c r="J175" s="31"/>
      <c r="L175" s="32">
        <f>(J175*E175)</f>
        <v>0</v>
      </c>
    </row>
    <row r="176" spans="1:12" s="26" customFormat="1" ht="15.5" thickTop="1" thickBot="1" x14ac:dyDescent="0.4">
      <c r="A176" s="26">
        <v>329</v>
      </c>
      <c r="B176" s="26" t="s">
        <v>312</v>
      </c>
      <c r="C176" s="26" t="s">
        <v>56</v>
      </c>
      <c r="D176" s="26" t="s">
        <v>384</v>
      </c>
      <c r="E176" s="26">
        <v>1</v>
      </c>
      <c r="F176" s="31">
        <v>90000</v>
      </c>
      <c r="G176" s="26" t="s">
        <v>303</v>
      </c>
      <c r="H176" s="26">
        <v>6</v>
      </c>
      <c r="J176" s="31"/>
      <c r="L176" s="32">
        <f>(J176*E176)</f>
        <v>0</v>
      </c>
    </row>
    <row r="177" spans="1:12" s="26" customFormat="1" ht="30" thickTop="1" thickBot="1" x14ac:dyDescent="0.4">
      <c r="A177" s="26">
        <v>334</v>
      </c>
      <c r="B177" s="26" t="s">
        <v>385</v>
      </c>
      <c r="C177" s="26" t="s">
        <v>313</v>
      </c>
      <c r="D177" s="26" t="s">
        <v>404</v>
      </c>
      <c r="E177" s="26">
        <v>1</v>
      </c>
      <c r="F177" s="31">
        <v>80000</v>
      </c>
      <c r="G177" s="26" t="s">
        <v>303</v>
      </c>
      <c r="H177" s="26">
        <v>6</v>
      </c>
      <c r="J177" s="31"/>
      <c r="L177" s="32">
        <f>(J177*E177)</f>
        <v>0</v>
      </c>
    </row>
    <row r="178" spans="1:12" s="26" customFormat="1" ht="15.5" thickTop="1" thickBot="1" x14ac:dyDescent="0.4">
      <c r="A178" s="26">
        <v>335</v>
      </c>
      <c r="B178" s="26" t="s">
        <v>386</v>
      </c>
      <c r="C178" s="26" t="s">
        <v>227</v>
      </c>
      <c r="D178" s="26" t="s">
        <v>635</v>
      </c>
      <c r="E178" s="26">
        <v>1</v>
      </c>
      <c r="F178" s="31">
        <v>60000</v>
      </c>
      <c r="G178" s="26" t="s">
        <v>303</v>
      </c>
      <c r="H178" s="26">
        <v>2</v>
      </c>
      <c r="J178" s="31"/>
      <c r="L178" s="32">
        <f>(J178*E178)</f>
        <v>0</v>
      </c>
    </row>
    <row r="179" spans="1:12" s="26" customFormat="1" ht="30" thickTop="1" thickBot="1" x14ac:dyDescent="0.4">
      <c r="A179" s="26">
        <v>404</v>
      </c>
      <c r="B179" s="26" t="s">
        <v>382</v>
      </c>
      <c r="C179" s="26" t="s">
        <v>10</v>
      </c>
      <c r="D179" s="26" t="s">
        <v>406</v>
      </c>
      <c r="E179" s="26">
        <v>1</v>
      </c>
      <c r="F179" s="31">
        <v>50000</v>
      </c>
      <c r="G179" s="26" t="s">
        <v>303</v>
      </c>
      <c r="H179" s="26">
        <v>6</v>
      </c>
      <c r="J179" s="31"/>
      <c r="L179" s="32">
        <f>(J179*E179)</f>
        <v>0</v>
      </c>
    </row>
    <row r="180" spans="1:12" s="26" customFormat="1" ht="15.5" thickTop="1" thickBot="1" x14ac:dyDescent="0.4">
      <c r="A180" s="26">
        <v>405</v>
      </c>
      <c r="B180" s="26" t="s">
        <v>390</v>
      </c>
      <c r="C180" s="26" t="s">
        <v>368</v>
      </c>
      <c r="D180" s="26" t="s">
        <v>316</v>
      </c>
      <c r="E180" s="26">
        <v>1</v>
      </c>
      <c r="F180" s="31">
        <v>70000</v>
      </c>
      <c r="G180" s="26" t="s">
        <v>303</v>
      </c>
      <c r="H180" s="26">
        <v>5</v>
      </c>
      <c r="J180" s="31"/>
      <c r="L180" s="32">
        <f>(J180*E180)</f>
        <v>0</v>
      </c>
    </row>
    <row r="181" spans="1:12" s="26" customFormat="1" ht="15.5" thickTop="1" thickBot="1" x14ac:dyDescent="0.4">
      <c r="A181" s="26">
        <v>406</v>
      </c>
      <c r="B181" s="26" t="s">
        <v>383</v>
      </c>
      <c r="C181" s="26" t="s">
        <v>317</v>
      </c>
      <c r="D181" s="26" t="s">
        <v>316</v>
      </c>
      <c r="E181" s="26">
        <v>1</v>
      </c>
      <c r="F181" s="31">
        <v>70000</v>
      </c>
      <c r="G181" s="26" t="s">
        <v>303</v>
      </c>
      <c r="H181" s="26">
        <v>6</v>
      </c>
      <c r="J181" s="31"/>
      <c r="L181" s="32">
        <f>(J181*E181)</f>
        <v>0</v>
      </c>
    </row>
    <row r="182" spans="1:12" s="26" customFormat="1" ht="44.5" thickTop="1" thickBot="1" x14ac:dyDescent="0.4">
      <c r="A182" s="26">
        <v>408</v>
      </c>
      <c r="B182" s="26" t="s">
        <v>318</v>
      </c>
      <c r="C182" s="26" t="s">
        <v>319</v>
      </c>
      <c r="D182" s="26" t="s">
        <v>407</v>
      </c>
      <c r="E182" s="26">
        <v>1</v>
      </c>
      <c r="F182" s="31">
        <v>60000</v>
      </c>
      <c r="G182" s="26" t="s">
        <v>303</v>
      </c>
      <c r="H182" s="26">
        <v>4</v>
      </c>
      <c r="J182" s="31"/>
      <c r="L182" s="32">
        <f>(J182*E182)</f>
        <v>0</v>
      </c>
    </row>
    <row r="183" spans="1:12" s="26" customFormat="1" ht="409.6" thickTop="1" thickBot="1" x14ac:dyDescent="0.4">
      <c r="A183" s="26">
        <v>409</v>
      </c>
      <c r="B183" s="26" t="s">
        <v>387</v>
      </c>
      <c r="C183" s="26" t="s">
        <v>317</v>
      </c>
      <c r="D183" s="26" t="s">
        <v>408</v>
      </c>
      <c r="E183" s="26">
        <v>1</v>
      </c>
      <c r="F183" s="31">
        <v>50000</v>
      </c>
      <c r="G183" s="26" t="s">
        <v>303</v>
      </c>
      <c r="H183" s="26">
        <v>6</v>
      </c>
      <c r="J183" s="31"/>
      <c r="L183" s="32">
        <f>(J183*E183)</f>
        <v>0</v>
      </c>
    </row>
    <row r="184" spans="1:12" s="26" customFormat="1" ht="15.5" thickTop="1" thickBot="1" x14ac:dyDescent="0.4">
      <c r="A184" s="26">
        <v>411</v>
      </c>
      <c r="B184" s="26" t="s">
        <v>320</v>
      </c>
      <c r="C184" s="26" t="s">
        <v>321</v>
      </c>
      <c r="D184" s="26" t="s">
        <v>322</v>
      </c>
      <c r="E184" s="26">
        <v>1</v>
      </c>
      <c r="F184" s="31">
        <v>40000</v>
      </c>
      <c r="G184" s="26" t="s">
        <v>303</v>
      </c>
      <c r="H184" s="26">
        <v>1</v>
      </c>
      <c r="J184" s="31"/>
      <c r="L184" s="32">
        <f>(J184*E184)</f>
        <v>0</v>
      </c>
    </row>
    <row r="185" spans="1:12" s="26" customFormat="1" ht="15.5" thickTop="1" thickBot="1" x14ac:dyDescent="0.4">
      <c r="A185" s="26">
        <v>412</v>
      </c>
      <c r="B185" s="26" t="s">
        <v>365</v>
      </c>
      <c r="C185" s="26" t="s">
        <v>4</v>
      </c>
      <c r="D185" s="26" t="s">
        <v>409</v>
      </c>
      <c r="E185" s="26">
        <v>1</v>
      </c>
      <c r="F185" s="31">
        <v>90000</v>
      </c>
      <c r="G185" s="26" t="s">
        <v>303</v>
      </c>
      <c r="H185" s="26">
        <v>1</v>
      </c>
      <c r="J185" s="31"/>
      <c r="L185" s="32">
        <f>(J185*E185)</f>
        <v>0</v>
      </c>
    </row>
    <row r="186" spans="1:12" s="26" customFormat="1" ht="15.5" thickTop="1" thickBot="1" x14ac:dyDescent="0.4">
      <c r="A186" s="26">
        <v>413</v>
      </c>
      <c r="B186" s="26" t="s">
        <v>392</v>
      </c>
      <c r="C186" s="26" t="s">
        <v>323</v>
      </c>
      <c r="D186" s="26" t="s">
        <v>324</v>
      </c>
      <c r="E186" s="26">
        <v>1</v>
      </c>
      <c r="F186" s="31">
        <v>50000</v>
      </c>
      <c r="G186" s="26" t="s">
        <v>303</v>
      </c>
      <c r="H186" s="26">
        <v>2</v>
      </c>
      <c r="J186" s="31"/>
      <c r="L186" s="32">
        <f>(J186*E186)</f>
        <v>0</v>
      </c>
    </row>
    <row r="187" spans="1:12" s="26" customFormat="1" ht="15.5" thickTop="1" thickBot="1" x14ac:dyDescent="0.4">
      <c r="A187" s="26">
        <v>415</v>
      </c>
      <c r="B187" s="26" t="s">
        <v>391</v>
      </c>
      <c r="C187" s="26" t="s">
        <v>323</v>
      </c>
      <c r="D187" s="26" t="s">
        <v>325</v>
      </c>
      <c r="E187" s="26">
        <v>1</v>
      </c>
      <c r="F187" s="31">
        <v>70000</v>
      </c>
      <c r="G187" s="26" t="s">
        <v>303</v>
      </c>
      <c r="H187" s="26">
        <v>2</v>
      </c>
      <c r="J187" s="31"/>
      <c r="L187" s="32">
        <f>(J187*E187)</f>
        <v>0</v>
      </c>
    </row>
    <row r="188" spans="1:12" s="26" customFormat="1" ht="15.5" thickTop="1" thickBot="1" x14ac:dyDescent="0.4">
      <c r="A188" s="26">
        <v>416</v>
      </c>
      <c r="B188" s="26" t="s">
        <v>707</v>
      </c>
      <c r="C188" s="26" t="s">
        <v>708</v>
      </c>
      <c r="D188" s="26" t="s">
        <v>324</v>
      </c>
      <c r="E188" s="26">
        <v>1</v>
      </c>
      <c r="F188" s="31">
        <v>60000</v>
      </c>
      <c r="G188" s="26" t="s">
        <v>303</v>
      </c>
      <c r="H188" s="26">
        <v>5</v>
      </c>
      <c r="J188" s="31"/>
      <c r="L188" s="32">
        <f>(J188*E188)</f>
        <v>0</v>
      </c>
    </row>
    <row r="189" spans="1:12" s="26" customFormat="1" ht="30" thickTop="1" thickBot="1" x14ac:dyDescent="0.4">
      <c r="A189" s="26">
        <v>341</v>
      </c>
      <c r="B189" s="26" t="s">
        <v>266</v>
      </c>
      <c r="C189" s="26" t="s">
        <v>302</v>
      </c>
      <c r="D189" s="26" t="s">
        <v>410</v>
      </c>
      <c r="E189" s="26">
        <v>1</v>
      </c>
      <c r="F189" s="31">
        <v>50000</v>
      </c>
      <c r="G189" s="26" t="s">
        <v>303</v>
      </c>
      <c r="H189" s="26">
        <v>6</v>
      </c>
      <c r="J189" s="31"/>
      <c r="L189" s="32">
        <f>(J189*E189)</f>
        <v>0</v>
      </c>
    </row>
    <row r="190" spans="1:12" s="26" customFormat="1" ht="15.5" thickTop="1" thickBot="1" x14ac:dyDescent="0.4">
      <c r="A190" s="26">
        <v>342</v>
      </c>
      <c r="B190" s="26" t="s">
        <v>328</v>
      </c>
      <c r="C190" s="26" t="s">
        <v>315</v>
      </c>
      <c r="D190" s="26" t="s">
        <v>326</v>
      </c>
      <c r="E190" s="26">
        <v>1</v>
      </c>
      <c r="F190" s="31">
        <v>90000</v>
      </c>
      <c r="G190" s="26" t="s">
        <v>303</v>
      </c>
      <c r="H190" s="26">
        <v>5</v>
      </c>
      <c r="J190" s="31"/>
      <c r="L190" s="32">
        <f>(J190*E190)</f>
        <v>0</v>
      </c>
    </row>
    <row r="191" spans="1:12" s="26" customFormat="1" ht="15.5" thickTop="1" thickBot="1" x14ac:dyDescent="0.4">
      <c r="A191" s="26">
        <v>343</v>
      </c>
      <c r="B191" s="26" t="s">
        <v>381</v>
      </c>
      <c r="C191" s="26" t="s">
        <v>329</v>
      </c>
      <c r="D191" s="26" t="s">
        <v>330</v>
      </c>
      <c r="E191" s="26">
        <v>1</v>
      </c>
      <c r="F191" s="31">
        <v>40000</v>
      </c>
      <c r="G191" s="26" t="s">
        <v>303</v>
      </c>
      <c r="H191" s="26">
        <v>6</v>
      </c>
      <c r="J191" s="31"/>
      <c r="L191" s="32">
        <f>(J191*E191)</f>
        <v>0</v>
      </c>
    </row>
    <row r="192" spans="1:12" s="26" customFormat="1" ht="73.5" thickTop="1" thickBot="1" x14ac:dyDescent="0.4">
      <c r="A192" s="26">
        <v>344</v>
      </c>
      <c r="B192" s="26" t="s">
        <v>333</v>
      </c>
      <c r="C192" s="26" t="s">
        <v>332</v>
      </c>
      <c r="D192" s="26" t="s">
        <v>411</v>
      </c>
      <c r="E192" s="26">
        <v>1</v>
      </c>
      <c r="F192" s="31">
        <v>50000</v>
      </c>
      <c r="G192" s="26" t="s">
        <v>303</v>
      </c>
      <c r="H192" s="26">
        <v>6</v>
      </c>
      <c r="J192" s="31"/>
      <c r="L192" s="32">
        <f>(J192*E192)</f>
        <v>0</v>
      </c>
    </row>
    <row r="193" spans="1:12" s="26" customFormat="1" ht="73.5" thickTop="1" thickBot="1" x14ac:dyDescent="0.4">
      <c r="A193" s="26">
        <v>345</v>
      </c>
      <c r="B193" s="26" t="s">
        <v>334</v>
      </c>
      <c r="C193" s="26" t="s">
        <v>332</v>
      </c>
      <c r="D193" s="26" t="s">
        <v>411</v>
      </c>
      <c r="E193" s="26">
        <v>1</v>
      </c>
      <c r="F193" s="31">
        <v>50000</v>
      </c>
      <c r="G193" s="26" t="s">
        <v>303</v>
      </c>
      <c r="H193" s="26">
        <v>6</v>
      </c>
      <c r="J193" s="31"/>
      <c r="L193" s="32">
        <f>(J193*E193)</f>
        <v>0</v>
      </c>
    </row>
    <row r="194" spans="1:12" s="26" customFormat="1" ht="15.5" thickTop="1" thickBot="1" x14ac:dyDescent="0.4">
      <c r="A194" s="26">
        <v>347</v>
      </c>
      <c r="B194" s="26" t="s">
        <v>388</v>
      </c>
      <c r="C194" s="26" t="s">
        <v>336</v>
      </c>
      <c r="D194" s="26" t="s">
        <v>389</v>
      </c>
      <c r="E194" s="26">
        <v>1</v>
      </c>
      <c r="F194" s="31">
        <v>50000</v>
      </c>
      <c r="G194" s="26" t="s">
        <v>303</v>
      </c>
      <c r="H194" s="26">
        <v>3</v>
      </c>
      <c r="J194" s="31"/>
      <c r="L194" s="32">
        <f>(J194*E194)</f>
        <v>0</v>
      </c>
    </row>
    <row r="195" spans="1:12" s="26" customFormat="1" ht="15.5" thickTop="1" thickBot="1" x14ac:dyDescent="0.4">
      <c r="A195" s="26">
        <v>348</v>
      </c>
      <c r="B195" s="26" t="s">
        <v>687</v>
      </c>
      <c r="C195" s="26" t="s">
        <v>339</v>
      </c>
      <c r="D195" s="26" t="s">
        <v>340</v>
      </c>
      <c r="E195" s="26">
        <v>1</v>
      </c>
      <c r="F195" s="31">
        <v>50000</v>
      </c>
      <c r="G195" s="26" t="s">
        <v>2</v>
      </c>
      <c r="H195" s="26">
        <v>18</v>
      </c>
      <c r="J195" s="31">
        <v>20000</v>
      </c>
      <c r="L195" s="32">
        <f>(J195*E195)</f>
        <v>20000</v>
      </c>
    </row>
    <row r="196" spans="1:12" s="26" customFormat="1" ht="15.5" thickTop="1" thickBot="1" x14ac:dyDescent="0.4">
      <c r="A196" s="26">
        <v>349</v>
      </c>
      <c r="B196" s="26" t="s">
        <v>686</v>
      </c>
      <c r="C196" s="26" t="s">
        <v>338</v>
      </c>
      <c r="D196" s="26" t="s">
        <v>337</v>
      </c>
      <c r="E196" s="26">
        <v>1</v>
      </c>
      <c r="F196" s="31">
        <v>50000</v>
      </c>
      <c r="G196" s="26" t="s">
        <v>2</v>
      </c>
      <c r="H196" s="26">
        <v>18</v>
      </c>
      <c r="J196" s="31">
        <v>20000</v>
      </c>
      <c r="L196" s="32">
        <f>(J196*E196)</f>
        <v>20000</v>
      </c>
    </row>
    <row r="197" spans="1:12" s="26" customFormat="1" ht="15.5" thickTop="1" thickBot="1" x14ac:dyDescent="0.4">
      <c r="A197" s="26">
        <v>351</v>
      </c>
      <c r="B197" s="26" t="s">
        <v>454</v>
      </c>
      <c r="C197" s="26" t="s">
        <v>342</v>
      </c>
      <c r="D197" s="26" t="s">
        <v>343</v>
      </c>
      <c r="E197" s="26">
        <v>1</v>
      </c>
      <c r="F197" s="31">
        <v>50000</v>
      </c>
      <c r="G197" s="26" t="s">
        <v>2</v>
      </c>
      <c r="H197" s="26">
        <v>19</v>
      </c>
      <c r="J197" s="31">
        <v>30000</v>
      </c>
      <c r="L197" s="32">
        <f>(J197*E197)</f>
        <v>30000</v>
      </c>
    </row>
    <row r="198" spans="1:12" s="26" customFormat="1" ht="15.5" thickTop="1" thickBot="1" x14ac:dyDescent="0.4">
      <c r="A198" s="26">
        <v>352</v>
      </c>
      <c r="B198" s="26" t="s">
        <v>345</v>
      </c>
      <c r="C198" s="26" t="s">
        <v>346</v>
      </c>
      <c r="D198" s="26" t="s">
        <v>344</v>
      </c>
      <c r="E198" s="26">
        <v>1</v>
      </c>
      <c r="F198" s="31">
        <v>80000</v>
      </c>
      <c r="G198" s="26" t="s">
        <v>2</v>
      </c>
      <c r="H198" s="26">
        <v>18</v>
      </c>
      <c r="J198" s="31">
        <v>30000</v>
      </c>
      <c r="L198" s="32">
        <f>(J198*E198)</f>
        <v>30000</v>
      </c>
    </row>
    <row r="199" spans="1:12" s="13" customFormat="1" ht="15.5" thickTop="1" thickBot="1" x14ac:dyDescent="0.4">
      <c r="A199" s="26">
        <v>353</v>
      </c>
      <c r="B199" s="26" t="s">
        <v>348</v>
      </c>
      <c r="C199" s="26" t="s">
        <v>347</v>
      </c>
      <c r="D199" s="26" t="s">
        <v>638</v>
      </c>
      <c r="E199" s="26">
        <v>1</v>
      </c>
      <c r="F199" s="31">
        <v>90000</v>
      </c>
      <c r="G199" s="26" t="s">
        <v>2</v>
      </c>
      <c r="H199" s="26">
        <v>18</v>
      </c>
      <c r="I199" s="26"/>
      <c r="J199" s="31">
        <v>30000</v>
      </c>
      <c r="L199" s="32">
        <f>(J199*E199)</f>
        <v>30000</v>
      </c>
    </row>
    <row r="200" spans="1:12" s="13" customFormat="1" ht="30" thickTop="1" thickBot="1" x14ac:dyDescent="0.4">
      <c r="A200" s="26">
        <v>354</v>
      </c>
      <c r="B200" s="26" t="s">
        <v>349</v>
      </c>
      <c r="C200" s="26" t="s">
        <v>315</v>
      </c>
      <c r="D200" s="26" t="s">
        <v>350</v>
      </c>
      <c r="E200" s="26">
        <v>1</v>
      </c>
      <c r="F200" s="31">
        <v>80000</v>
      </c>
      <c r="G200" s="26" t="s">
        <v>2</v>
      </c>
      <c r="H200" s="26">
        <v>20</v>
      </c>
      <c r="I200" s="26"/>
      <c r="J200" s="31">
        <v>30000</v>
      </c>
      <c r="L200" s="32">
        <f>(J200*E200)</f>
        <v>30000</v>
      </c>
    </row>
    <row r="201" spans="1:12" s="13" customFormat="1" ht="15.5" thickTop="1" thickBot="1" x14ac:dyDescent="0.4">
      <c r="A201" s="26">
        <v>359</v>
      </c>
      <c r="B201" s="26" t="s">
        <v>352</v>
      </c>
      <c r="C201" s="26" t="s">
        <v>351</v>
      </c>
      <c r="D201" s="26" t="s">
        <v>353</v>
      </c>
      <c r="E201" s="26">
        <v>1</v>
      </c>
      <c r="F201" s="31">
        <v>120000</v>
      </c>
      <c r="G201" s="26" t="s">
        <v>2</v>
      </c>
      <c r="H201" s="26">
        <v>15</v>
      </c>
      <c r="I201" s="26"/>
      <c r="J201" s="31">
        <v>30000</v>
      </c>
      <c r="L201" s="32">
        <f>(J201*E201)</f>
        <v>30000</v>
      </c>
    </row>
    <row r="202" spans="1:12" s="13" customFormat="1" ht="15.5" thickTop="1" thickBot="1" x14ac:dyDescent="0.4">
      <c r="A202" s="26">
        <v>360</v>
      </c>
      <c r="B202" s="26" t="s">
        <v>636</v>
      </c>
      <c r="C202" s="26" t="s">
        <v>354</v>
      </c>
      <c r="D202" s="26" t="s">
        <v>371</v>
      </c>
      <c r="E202" s="26">
        <v>1</v>
      </c>
      <c r="F202" s="31">
        <v>110000</v>
      </c>
      <c r="G202" s="26" t="s">
        <v>2</v>
      </c>
      <c r="H202" s="26">
        <v>15</v>
      </c>
      <c r="I202" s="26"/>
      <c r="J202" s="31">
        <v>30000</v>
      </c>
      <c r="L202" s="32">
        <f>(J202*E202)</f>
        <v>30000</v>
      </c>
    </row>
    <row r="203" spans="1:12" s="13" customFormat="1" ht="30" thickTop="1" thickBot="1" x14ac:dyDescent="0.4">
      <c r="A203" s="26">
        <v>363</v>
      </c>
      <c r="B203" s="26" t="s">
        <v>357</v>
      </c>
      <c r="C203" s="26" t="s">
        <v>227</v>
      </c>
      <c r="D203" s="26" t="s">
        <v>356</v>
      </c>
      <c r="E203" s="26">
        <v>1</v>
      </c>
      <c r="F203" s="31">
        <v>50000</v>
      </c>
      <c r="G203" s="26" t="s">
        <v>2</v>
      </c>
      <c r="H203" s="26">
        <v>15</v>
      </c>
      <c r="I203" s="26"/>
      <c r="J203" s="31">
        <v>25000</v>
      </c>
      <c r="L203" s="32">
        <f>(J203*E203)</f>
        <v>25000</v>
      </c>
    </row>
    <row r="204" spans="1:12" s="15" customFormat="1" ht="15" thickTop="1" x14ac:dyDescent="0.35">
      <c r="A204" s="20">
        <v>365</v>
      </c>
      <c r="B204" s="20" t="s">
        <v>359</v>
      </c>
      <c r="C204" s="20" t="s">
        <v>313</v>
      </c>
      <c r="D204" s="20" t="s">
        <v>358</v>
      </c>
      <c r="E204" s="20">
        <v>1</v>
      </c>
      <c r="F204" s="21">
        <v>80000</v>
      </c>
      <c r="G204" s="20" t="s">
        <v>2</v>
      </c>
      <c r="H204" s="20">
        <v>12</v>
      </c>
      <c r="I204" s="20"/>
      <c r="J204" s="21">
        <v>25000</v>
      </c>
      <c r="L204" s="17">
        <f>(J204*E204)</f>
        <v>25000</v>
      </c>
    </row>
    <row r="205" spans="1:12" s="15" customFormat="1" x14ac:dyDescent="0.35">
      <c r="A205" s="20">
        <v>368</v>
      </c>
      <c r="B205" s="20" t="s">
        <v>362</v>
      </c>
      <c r="C205" s="20" t="s">
        <v>360</v>
      </c>
      <c r="D205" s="20" t="s">
        <v>361</v>
      </c>
      <c r="E205" s="20">
        <v>1</v>
      </c>
      <c r="F205" s="21">
        <v>70000</v>
      </c>
      <c r="G205" s="20" t="s">
        <v>2</v>
      </c>
      <c r="H205" s="20">
        <v>12</v>
      </c>
      <c r="I205" s="20"/>
      <c r="J205" s="21">
        <v>30000</v>
      </c>
      <c r="L205" s="17">
        <f>(J205*E205)</f>
        <v>30000</v>
      </c>
    </row>
    <row r="206" spans="1:12" s="20" customFormat="1" x14ac:dyDescent="0.35">
      <c r="A206" s="20">
        <f>(A205+1)</f>
        <v>369</v>
      </c>
      <c r="B206" s="20" t="s">
        <v>333</v>
      </c>
      <c r="C206" s="20" t="s">
        <v>332</v>
      </c>
      <c r="D206" s="20" t="s">
        <v>331</v>
      </c>
      <c r="E206" s="20">
        <v>1</v>
      </c>
      <c r="F206" s="21">
        <v>50000</v>
      </c>
      <c r="G206" s="20" t="s">
        <v>2</v>
      </c>
      <c r="H206" s="20">
        <v>12</v>
      </c>
      <c r="I206" s="20">
        <v>1</v>
      </c>
      <c r="J206" s="21">
        <v>20000</v>
      </c>
      <c r="L206" s="17">
        <f>(J206*E206)</f>
        <v>20000</v>
      </c>
    </row>
    <row r="207" spans="1:12" s="18" customFormat="1" ht="29.5" thickBot="1" x14ac:dyDescent="0.4">
      <c r="A207" s="51">
        <v>371</v>
      </c>
      <c r="B207" s="51" t="s">
        <v>637</v>
      </c>
      <c r="C207" s="51" t="s">
        <v>368</v>
      </c>
      <c r="D207" s="51" t="s">
        <v>367</v>
      </c>
      <c r="E207" s="51">
        <v>1</v>
      </c>
      <c r="F207" s="57">
        <v>90000</v>
      </c>
      <c r="G207" s="51" t="s">
        <v>2</v>
      </c>
      <c r="H207" s="51">
        <v>12</v>
      </c>
      <c r="I207" s="51"/>
      <c r="J207" s="57">
        <v>30000</v>
      </c>
      <c r="L207" s="19">
        <f>(J207*E207)</f>
        <v>30000</v>
      </c>
    </row>
    <row r="208" spans="1:12" s="13" customFormat="1" ht="15.5" thickTop="1" thickBot="1" x14ac:dyDescent="0.4">
      <c r="A208" s="26">
        <v>374</v>
      </c>
      <c r="B208" s="26" t="s">
        <v>369</v>
      </c>
      <c r="C208" s="26" t="s">
        <v>341</v>
      </c>
      <c r="D208" s="26" t="s">
        <v>639</v>
      </c>
      <c r="E208" s="26">
        <v>1</v>
      </c>
      <c r="F208" s="31">
        <v>80000</v>
      </c>
      <c r="G208" s="26" t="s">
        <v>2</v>
      </c>
      <c r="H208" s="26">
        <v>18</v>
      </c>
      <c r="I208" s="26"/>
      <c r="J208" s="31">
        <v>25000</v>
      </c>
      <c r="L208" s="32">
        <f>(J208*E208)</f>
        <v>25000</v>
      </c>
    </row>
    <row r="209" spans="1:12" s="13" customFormat="1" ht="15.5" thickTop="1" thickBot="1" x14ac:dyDescent="0.4">
      <c r="A209" s="26">
        <v>380</v>
      </c>
      <c r="B209" s="26" t="s">
        <v>373</v>
      </c>
      <c r="C209" s="26" t="s">
        <v>372</v>
      </c>
      <c r="D209" s="26" t="s">
        <v>374</v>
      </c>
      <c r="E209" s="26">
        <v>1</v>
      </c>
      <c r="F209" s="31">
        <v>50000</v>
      </c>
      <c r="G209" s="26" t="s">
        <v>2</v>
      </c>
      <c r="H209" s="26">
        <v>19</v>
      </c>
      <c r="I209" s="26"/>
      <c r="J209" s="31">
        <v>25000</v>
      </c>
      <c r="L209" s="32">
        <f>(J209*E209)</f>
        <v>25000</v>
      </c>
    </row>
    <row r="210" spans="1:12" s="13" customFormat="1" ht="15.5" thickTop="1" thickBot="1" x14ac:dyDescent="0.4">
      <c r="A210" s="26">
        <v>383</v>
      </c>
      <c r="B210" s="26" t="s">
        <v>413</v>
      </c>
      <c r="C210" s="26" t="s">
        <v>327</v>
      </c>
      <c r="D210" s="26" t="s">
        <v>414</v>
      </c>
      <c r="E210" s="26">
        <v>1</v>
      </c>
      <c r="F210" s="31">
        <v>90000</v>
      </c>
      <c r="G210" s="26" t="s">
        <v>2</v>
      </c>
      <c r="H210" s="26">
        <v>13</v>
      </c>
      <c r="I210" s="26"/>
      <c r="J210" s="31">
        <v>30000</v>
      </c>
      <c r="L210" s="32">
        <f>(J210*E210)</f>
        <v>30000</v>
      </c>
    </row>
    <row r="211" spans="1:12" s="13" customFormat="1" ht="15.5" thickTop="1" thickBot="1" x14ac:dyDescent="0.4">
      <c r="A211" s="26">
        <v>384</v>
      </c>
      <c r="B211" s="26" t="s">
        <v>415</v>
      </c>
      <c r="C211" s="26" t="s">
        <v>314</v>
      </c>
      <c r="D211" s="26" t="s">
        <v>416</v>
      </c>
      <c r="E211" s="26">
        <v>1</v>
      </c>
      <c r="F211" s="31">
        <v>90000</v>
      </c>
      <c r="G211" s="26" t="s">
        <v>2</v>
      </c>
      <c r="H211" s="26">
        <v>20</v>
      </c>
      <c r="I211" s="26"/>
      <c r="J211" s="31">
        <v>30000</v>
      </c>
      <c r="L211" s="32">
        <f>(J211*E211)</f>
        <v>30000</v>
      </c>
    </row>
    <row r="212" spans="1:12" s="15" customFormat="1" ht="15.5" thickTop="1" thickBot="1" x14ac:dyDescent="0.4">
      <c r="A212" s="20">
        <v>387</v>
      </c>
      <c r="B212" s="20" t="s">
        <v>418</v>
      </c>
      <c r="C212" s="20" t="s">
        <v>313</v>
      </c>
      <c r="D212" s="20" t="s">
        <v>419</v>
      </c>
      <c r="E212" s="20">
        <v>1</v>
      </c>
      <c r="F212" s="21">
        <v>120000</v>
      </c>
      <c r="G212" s="20" t="s">
        <v>2</v>
      </c>
      <c r="H212" s="20">
        <v>12</v>
      </c>
      <c r="I212" s="20"/>
      <c r="J212" s="21">
        <v>30000</v>
      </c>
      <c r="L212" s="17">
        <f>(J212*E212)</f>
        <v>30000</v>
      </c>
    </row>
    <row r="213" spans="1:12" s="13" customFormat="1" ht="15.5" thickTop="1" thickBot="1" x14ac:dyDescent="0.4">
      <c r="A213" s="26">
        <v>388</v>
      </c>
      <c r="B213" s="26" t="s">
        <v>420</v>
      </c>
      <c r="C213" s="26" t="s">
        <v>314</v>
      </c>
      <c r="D213" s="26" t="s">
        <v>421</v>
      </c>
      <c r="E213" s="26">
        <v>1</v>
      </c>
      <c r="F213" s="31">
        <v>80000</v>
      </c>
      <c r="G213" s="26" t="s">
        <v>2</v>
      </c>
      <c r="H213" s="26">
        <v>6</v>
      </c>
      <c r="I213" s="26"/>
      <c r="J213" s="31">
        <v>40000</v>
      </c>
      <c r="L213" s="32">
        <f>(J213*E213)</f>
        <v>40000</v>
      </c>
    </row>
    <row r="214" spans="1:12" s="13" customFormat="1" ht="15.5" thickTop="1" thickBot="1" x14ac:dyDescent="0.4">
      <c r="A214" s="26">
        <v>389</v>
      </c>
      <c r="B214" s="26" t="s">
        <v>423</v>
      </c>
      <c r="C214" s="26" t="s">
        <v>422</v>
      </c>
      <c r="D214" s="26" t="s">
        <v>424</v>
      </c>
      <c r="E214" s="26">
        <v>1</v>
      </c>
      <c r="F214" s="31">
        <v>90000</v>
      </c>
      <c r="G214" s="26" t="s">
        <v>2</v>
      </c>
      <c r="H214" s="26">
        <v>2</v>
      </c>
      <c r="I214" s="26"/>
      <c r="J214" s="31">
        <v>40000</v>
      </c>
      <c r="L214" s="32">
        <f>(J214*E214)</f>
        <v>40000</v>
      </c>
    </row>
    <row r="215" spans="1:12" s="13" customFormat="1" ht="15.5" thickTop="1" thickBot="1" x14ac:dyDescent="0.4">
      <c r="A215" s="26">
        <v>390</v>
      </c>
      <c r="B215" s="26"/>
      <c r="C215" s="26" t="s">
        <v>227</v>
      </c>
      <c r="D215" s="26" t="s">
        <v>724</v>
      </c>
      <c r="E215" s="26">
        <v>1</v>
      </c>
      <c r="F215" s="31"/>
      <c r="G215" s="26"/>
      <c r="H215" s="26" t="s">
        <v>229</v>
      </c>
      <c r="I215" s="26"/>
      <c r="J215" s="31"/>
      <c r="L215" s="32"/>
    </row>
    <row r="216" spans="1:12" s="15" customFormat="1" ht="29.5" thickTop="1" x14ac:dyDescent="0.35">
      <c r="A216" s="20">
        <v>391</v>
      </c>
      <c r="B216" s="20" t="s">
        <v>425</v>
      </c>
      <c r="C216" s="20" t="s">
        <v>227</v>
      </c>
      <c r="D216" s="20" t="s">
        <v>426</v>
      </c>
      <c r="E216" s="20">
        <v>1</v>
      </c>
      <c r="F216" s="21">
        <v>60000</v>
      </c>
      <c r="G216" s="20" t="s">
        <v>232</v>
      </c>
      <c r="H216" s="20" t="s">
        <v>227</v>
      </c>
      <c r="I216" s="20"/>
      <c r="J216" s="21"/>
      <c r="L216" s="17">
        <f>(J216*E216)</f>
        <v>0</v>
      </c>
    </row>
    <row r="217" spans="1:12" s="15" customFormat="1" x14ac:dyDescent="0.35">
      <c r="A217" s="20">
        <v>393</v>
      </c>
      <c r="B217" s="20" t="s">
        <v>427</v>
      </c>
      <c r="C217" s="20" t="s">
        <v>227</v>
      </c>
      <c r="D217" s="20" t="s">
        <v>428</v>
      </c>
      <c r="E217" s="20">
        <v>1</v>
      </c>
      <c r="F217" s="21">
        <v>60000</v>
      </c>
      <c r="G217" s="20" t="s">
        <v>232</v>
      </c>
      <c r="H217" s="20" t="s">
        <v>227</v>
      </c>
      <c r="I217" s="20"/>
      <c r="J217" s="21"/>
      <c r="L217" s="17">
        <f>(J217*E217)</f>
        <v>0</v>
      </c>
    </row>
    <row r="218" spans="1:12" s="15" customFormat="1" x14ac:dyDescent="0.35">
      <c r="A218" s="20">
        <v>398</v>
      </c>
      <c r="B218" s="20" t="s">
        <v>429</v>
      </c>
      <c r="C218" s="20" t="s">
        <v>227</v>
      </c>
      <c r="D218" s="20" t="s">
        <v>430</v>
      </c>
      <c r="E218" s="20">
        <v>1</v>
      </c>
      <c r="F218" s="21">
        <v>50000</v>
      </c>
      <c r="G218" s="20" t="s">
        <v>232</v>
      </c>
      <c r="H218" s="20" t="s">
        <v>227</v>
      </c>
      <c r="I218" s="20"/>
      <c r="J218" s="21"/>
      <c r="L218" s="17">
        <f>(J218*E218)</f>
        <v>0</v>
      </c>
    </row>
    <row r="219" spans="1:12" s="15" customFormat="1" x14ac:dyDescent="0.35">
      <c r="A219" s="20">
        <v>399</v>
      </c>
      <c r="B219" s="20" t="s">
        <v>431</v>
      </c>
      <c r="C219" s="20" t="s">
        <v>227</v>
      </c>
      <c r="D219" s="20" t="s">
        <v>432</v>
      </c>
      <c r="E219" s="20">
        <v>1</v>
      </c>
      <c r="F219" s="21">
        <v>60000</v>
      </c>
      <c r="G219" s="20" t="s">
        <v>232</v>
      </c>
      <c r="H219" s="20" t="s">
        <v>227</v>
      </c>
      <c r="I219" s="20"/>
      <c r="J219" s="21"/>
      <c r="L219" s="17">
        <f>(J219*E219)</f>
        <v>0</v>
      </c>
    </row>
    <row r="220" spans="1:12" s="15" customFormat="1" x14ac:dyDescent="0.35">
      <c r="A220" s="20">
        <v>418</v>
      </c>
      <c r="B220" s="20" t="s">
        <v>433</v>
      </c>
      <c r="C220" s="20" t="s">
        <v>227</v>
      </c>
      <c r="D220" s="20" t="s">
        <v>434</v>
      </c>
      <c r="E220" s="20">
        <v>1</v>
      </c>
      <c r="F220" s="21">
        <v>50000</v>
      </c>
      <c r="G220" s="20" t="s">
        <v>232</v>
      </c>
      <c r="H220" s="20" t="s">
        <v>227</v>
      </c>
      <c r="I220" s="20"/>
      <c r="J220" s="21"/>
      <c r="L220" s="17">
        <f>(J220*E220)</f>
        <v>0</v>
      </c>
    </row>
    <row r="221" spans="1:12" s="24" customFormat="1" ht="15" thickBot="1" x14ac:dyDescent="0.4">
      <c r="A221" s="58">
        <v>419</v>
      </c>
      <c r="B221" s="58" t="s">
        <v>436</v>
      </c>
      <c r="C221" s="58" t="s">
        <v>227</v>
      </c>
      <c r="D221" s="58" t="s">
        <v>435</v>
      </c>
      <c r="E221" s="58">
        <v>6</v>
      </c>
      <c r="F221" s="59">
        <v>60000</v>
      </c>
      <c r="G221" s="58" t="s">
        <v>232</v>
      </c>
      <c r="H221" s="58" t="s">
        <v>227</v>
      </c>
      <c r="I221" s="58"/>
      <c r="J221" s="59"/>
      <c r="L221" s="39">
        <f>(J221*E221)</f>
        <v>0</v>
      </c>
    </row>
    <row r="222" spans="1:12" s="29" customFormat="1" ht="15.5" thickTop="1" thickBot="1" x14ac:dyDescent="0.4">
      <c r="A222" s="28">
        <v>426</v>
      </c>
      <c r="B222" s="28" t="s">
        <v>438</v>
      </c>
      <c r="C222" s="28" t="s">
        <v>315</v>
      </c>
      <c r="D222" s="28" t="s">
        <v>437</v>
      </c>
      <c r="E222" s="28">
        <v>1</v>
      </c>
      <c r="F222" s="36">
        <v>330000</v>
      </c>
      <c r="G222" s="28" t="s">
        <v>232</v>
      </c>
      <c r="H222" s="28">
        <v>6</v>
      </c>
      <c r="I222" s="28"/>
      <c r="J222" s="36"/>
      <c r="L222" s="33">
        <f>(J222*E222)</f>
        <v>0</v>
      </c>
    </row>
    <row r="223" spans="1:12" s="29" customFormat="1" ht="15.5" thickTop="1" thickBot="1" x14ac:dyDescent="0.4">
      <c r="A223" s="28">
        <v>428</v>
      </c>
      <c r="B223" s="28" t="s">
        <v>439</v>
      </c>
      <c r="C223" s="28" t="s">
        <v>315</v>
      </c>
      <c r="D223" s="28" t="s">
        <v>440</v>
      </c>
      <c r="E223" s="28">
        <v>2</v>
      </c>
      <c r="F223" s="36">
        <v>250000</v>
      </c>
      <c r="G223" s="28" t="s">
        <v>232</v>
      </c>
      <c r="H223" s="28">
        <v>6</v>
      </c>
      <c r="I223" s="28"/>
      <c r="J223" s="36"/>
      <c r="L223" s="33">
        <f>(J223*E223)</f>
        <v>0</v>
      </c>
    </row>
    <row r="224" spans="1:12" s="29" customFormat="1" ht="15.5" thickTop="1" thickBot="1" x14ac:dyDescent="0.4">
      <c r="A224" s="28">
        <v>430</v>
      </c>
      <c r="B224" s="28" t="s">
        <v>441</v>
      </c>
      <c r="C224" s="28" t="s">
        <v>227</v>
      </c>
      <c r="D224" s="28" t="s">
        <v>442</v>
      </c>
      <c r="E224" s="28">
        <v>1</v>
      </c>
      <c r="F224" s="36">
        <v>250000</v>
      </c>
      <c r="G224" s="28" t="s">
        <v>232</v>
      </c>
      <c r="H224" s="28">
        <v>6</v>
      </c>
      <c r="I224" s="28"/>
      <c r="J224" s="36"/>
      <c r="L224" s="33">
        <f>(J224*E224)</f>
        <v>0</v>
      </c>
    </row>
    <row r="225" spans="1:12" s="29" customFormat="1" ht="15.5" thickTop="1" thickBot="1" x14ac:dyDescent="0.4">
      <c r="A225" s="28">
        <v>431</v>
      </c>
      <c r="B225" s="28" t="s">
        <v>443</v>
      </c>
      <c r="C225" s="28" t="s">
        <v>315</v>
      </c>
      <c r="D225" s="28" t="s">
        <v>444</v>
      </c>
      <c r="E225" s="28">
        <v>1</v>
      </c>
      <c r="F225" s="36">
        <v>320000</v>
      </c>
      <c r="G225" s="28" t="s">
        <v>232</v>
      </c>
      <c r="H225" s="28">
        <v>6</v>
      </c>
      <c r="I225" s="28"/>
      <c r="J225" s="36"/>
      <c r="L225" s="33">
        <f>(J225*E225)</f>
        <v>0</v>
      </c>
    </row>
    <row r="226" spans="1:12" s="26" customFormat="1" ht="73.5" thickTop="1" thickBot="1" x14ac:dyDescent="0.4">
      <c r="A226" s="26">
        <v>436</v>
      </c>
      <c r="B226" s="26" t="s">
        <v>488</v>
      </c>
      <c r="C226" s="26" t="s">
        <v>229</v>
      </c>
      <c r="D226" s="26" t="s">
        <v>446</v>
      </c>
      <c r="E226" s="26">
        <v>1</v>
      </c>
      <c r="F226" s="31">
        <v>170000</v>
      </c>
      <c r="G226" s="26" t="s">
        <v>232</v>
      </c>
      <c r="H226" s="26">
        <v>4</v>
      </c>
      <c r="J226" s="31"/>
      <c r="L226" s="32">
        <f>(J226*E226)</f>
        <v>0</v>
      </c>
    </row>
    <row r="227" spans="1:12" s="13" customFormat="1" ht="15.5" thickTop="1" thickBot="1" x14ac:dyDescent="0.4">
      <c r="A227" s="26">
        <v>438</v>
      </c>
      <c r="B227" s="26" t="s">
        <v>447</v>
      </c>
      <c r="C227" s="26" t="s">
        <v>229</v>
      </c>
      <c r="D227" s="26" t="s">
        <v>448</v>
      </c>
      <c r="E227" s="26">
        <v>1</v>
      </c>
      <c r="F227" s="31">
        <v>170000</v>
      </c>
      <c r="G227" s="26" t="s">
        <v>232</v>
      </c>
      <c r="H227" s="26">
        <v>4</v>
      </c>
      <c r="I227" s="26"/>
      <c r="J227" s="31"/>
      <c r="L227" s="32">
        <f>(J227*E227)</f>
        <v>0</v>
      </c>
    </row>
    <row r="228" spans="1:12" s="13" customFormat="1" ht="15.5" thickTop="1" thickBot="1" x14ac:dyDescent="0.4">
      <c r="A228" s="26">
        <v>439</v>
      </c>
      <c r="B228" s="26" t="s">
        <v>450</v>
      </c>
      <c r="C228" s="26" t="s">
        <v>229</v>
      </c>
      <c r="D228" s="26" t="s">
        <v>449</v>
      </c>
      <c r="E228" s="26">
        <v>1</v>
      </c>
      <c r="F228" s="31">
        <v>170000</v>
      </c>
      <c r="G228" s="26" t="s">
        <v>232</v>
      </c>
      <c r="H228" s="26">
        <v>4</v>
      </c>
      <c r="I228" s="26"/>
      <c r="J228" s="31"/>
      <c r="L228" s="32">
        <f>(J228*E228)</f>
        <v>0</v>
      </c>
    </row>
    <row r="229" spans="1:12" s="13" customFormat="1" ht="15.5" thickTop="1" thickBot="1" x14ac:dyDescent="0.4">
      <c r="A229" s="26">
        <v>442</v>
      </c>
      <c r="B229" s="26" t="s">
        <v>452</v>
      </c>
      <c r="C229" s="26" t="s">
        <v>229</v>
      </c>
      <c r="D229" s="26" t="s">
        <v>451</v>
      </c>
      <c r="E229" s="26">
        <v>1</v>
      </c>
      <c r="F229" s="31">
        <v>170000</v>
      </c>
      <c r="G229" s="26" t="s">
        <v>232</v>
      </c>
      <c r="H229" s="26">
        <v>4</v>
      </c>
      <c r="I229" s="26"/>
      <c r="J229" s="31"/>
      <c r="L229" s="32">
        <f>(J229*E229)</f>
        <v>0</v>
      </c>
    </row>
    <row r="230" spans="1:12" s="13" customFormat="1" ht="15.5" thickTop="1" thickBot="1" x14ac:dyDescent="0.4">
      <c r="A230" s="26">
        <v>449</v>
      </c>
      <c r="B230" s="26" t="s">
        <v>455</v>
      </c>
      <c r="C230" s="26" t="s">
        <v>314</v>
      </c>
      <c r="D230" s="26" t="s">
        <v>453</v>
      </c>
      <c r="E230" s="26">
        <v>1</v>
      </c>
      <c r="F230" s="31">
        <v>100000</v>
      </c>
      <c r="G230" s="26" t="s">
        <v>2</v>
      </c>
      <c r="H230" s="26">
        <v>5</v>
      </c>
      <c r="I230" s="26"/>
      <c r="J230" s="31"/>
      <c r="L230" s="32">
        <f>(J230*E230)</f>
        <v>0</v>
      </c>
    </row>
    <row r="231" spans="1:12" s="13" customFormat="1" ht="15.5" thickTop="1" thickBot="1" x14ac:dyDescent="0.4">
      <c r="A231" s="26">
        <v>451</v>
      </c>
      <c r="B231" s="26" t="s">
        <v>456</v>
      </c>
      <c r="C231" s="26" t="s">
        <v>317</v>
      </c>
      <c r="D231" s="26" t="s">
        <v>457</v>
      </c>
      <c r="E231" s="26">
        <v>1</v>
      </c>
      <c r="F231" s="31">
        <v>50000</v>
      </c>
      <c r="G231" s="26" t="s">
        <v>2</v>
      </c>
      <c r="H231" s="26">
        <v>2</v>
      </c>
      <c r="I231" s="26"/>
      <c r="J231" s="31"/>
      <c r="L231" s="32">
        <f>(J231*E231)</f>
        <v>0</v>
      </c>
    </row>
    <row r="232" spans="1:12" s="13" customFormat="1" ht="59" thickTop="1" thickBot="1" x14ac:dyDescent="0.4">
      <c r="A232" s="26">
        <v>452</v>
      </c>
      <c r="B232" s="26" t="s">
        <v>458</v>
      </c>
      <c r="C232" s="26" t="s">
        <v>400</v>
      </c>
      <c r="D232" s="26" t="s">
        <v>459</v>
      </c>
      <c r="E232" s="26">
        <v>1</v>
      </c>
      <c r="F232" s="31">
        <v>50000</v>
      </c>
      <c r="G232" s="26" t="s">
        <v>2</v>
      </c>
      <c r="H232" s="26">
        <v>2</v>
      </c>
      <c r="I232" s="26"/>
      <c r="J232" s="31"/>
      <c r="L232" s="32">
        <f>(J232*E232)</f>
        <v>0</v>
      </c>
    </row>
    <row r="233" spans="1:12" s="13" customFormat="1" ht="30" thickTop="1" thickBot="1" x14ac:dyDescent="0.4">
      <c r="A233" s="26">
        <v>453</v>
      </c>
      <c r="B233" s="26" t="s">
        <v>461</v>
      </c>
      <c r="C233" s="26" t="s">
        <v>400</v>
      </c>
      <c r="D233" s="26" t="s">
        <v>460</v>
      </c>
      <c r="E233" s="26">
        <v>1</v>
      </c>
      <c r="F233" s="31">
        <v>50000</v>
      </c>
      <c r="G233" s="26" t="s">
        <v>2</v>
      </c>
      <c r="H233" s="26">
        <v>2</v>
      </c>
      <c r="I233" s="26"/>
      <c r="J233" s="31"/>
      <c r="L233" s="32">
        <f>(J233*E233)</f>
        <v>0</v>
      </c>
    </row>
    <row r="234" spans="1:12" s="13" customFormat="1" ht="15.5" thickTop="1" thickBot="1" x14ac:dyDescent="0.4">
      <c r="A234" s="26">
        <v>454</v>
      </c>
      <c r="B234" s="26" t="s">
        <v>462</v>
      </c>
      <c r="C234" s="26" t="s">
        <v>317</v>
      </c>
      <c r="D234" s="26" t="s">
        <v>463</v>
      </c>
      <c r="E234" s="26">
        <v>1</v>
      </c>
      <c r="F234" s="31">
        <v>50000</v>
      </c>
      <c r="G234" s="26" t="s">
        <v>2</v>
      </c>
      <c r="H234" s="26">
        <v>2</v>
      </c>
      <c r="I234" s="26"/>
      <c r="J234" s="31"/>
      <c r="L234" s="32">
        <f>(J234*E234)</f>
        <v>0</v>
      </c>
    </row>
    <row r="235" spans="1:12" s="13" customFormat="1" ht="30" thickTop="1" thickBot="1" x14ac:dyDescent="0.4">
      <c r="A235" s="26">
        <v>455</v>
      </c>
      <c r="B235" s="26" t="s">
        <v>465</v>
      </c>
      <c r="C235" s="26" t="s">
        <v>229</v>
      </c>
      <c r="D235" s="26" t="s">
        <v>464</v>
      </c>
      <c r="E235" s="26">
        <v>1</v>
      </c>
      <c r="F235" s="31">
        <v>60000</v>
      </c>
      <c r="G235" s="26" t="s">
        <v>2</v>
      </c>
      <c r="H235" s="26">
        <v>4</v>
      </c>
      <c r="I235" s="26"/>
      <c r="J235" s="31"/>
      <c r="L235" s="32">
        <f>(J235*E235)</f>
        <v>0</v>
      </c>
    </row>
    <row r="236" spans="1:12" s="13" customFormat="1" ht="15.5" thickTop="1" thickBot="1" x14ac:dyDescent="0.4">
      <c r="A236" s="26">
        <v>458</v>
      </c>
      <c r="B236" s="26" t="s">
        <v>466</v>
      </c>
      <c r="C236" s="26" t="s">
        <v>314</v>
      </c>
      <c r="D236" s="26" t="s">
        <v>467</v>
      </c>
      <c r="E236" s="26">
        <v>1</v>
      </c>
      <c r="F236" s="31">
        <v>100000</v>
      </c>
      <c r="G236" s="26" t="s">
        <v>2</v>
      </c>
      <c r="H236" s="26">
        <v>6</v>
      </c>
      <c r="I236" s="26"/>
      <c r="J236" s="31"/>
      <c r="L236" s="32">
        <f>(J236*E236)</f>
        <v>0</v>
      </c>
    </row>
    <row r="237" spans="1:12" s="13" customFormat="1" ht="15.5" thickTop="1" thickBot="1" x14ac:dyDescent="0.4">
      <c r="A237" s="26">
        <v>461</v>
      </c>
      <c r="B237" s="26"/>
      <c r="C237" s="26" t="s">
        <v>229</v>
      </c>
      <c r="D237" s="26" t="s">
        <v>768</v>
      </c>
      <c r="E237" s="26">
        <v>1</v>
      </c>
      <c r="F237" s="31"/>
      <c r="G237" s="26" t="s">
        <v>2</v>
      </c>
      <c r="H237" s="26">
        <v>17</v>
      </c>
      <c r="I237" s="26"/>
      <c r="J237" s="31"/>
      <c r="L237" s="32">
        <f>(J237*E237)</f>
        <v>0</v>
      </c>
    </row>
    <row r="238" spans="1:12" s="13" customFormat="1" ht="218.5" thickTop="1" thickBot="1" x14ac:dyDescent="0.4">
      <c r="A238" s="26">
        <v>462</v>
      </c>
      <c r="B238" s="26"/>
      <c r="C238" s="26" t="s">
        <v>229</v>
      </c>
      <c r="D238" s="26" t="s">
        <v>769</v>
      </c>
      <c r="E238" s="26">
        <v>1</v>
      </c>
      <c r="F238" s="31"/>
      <c r="G238" s="26" t="s">
        <v>2</v>
      </c>
      <c r="H238" s="26">
        <v>16</v>
      </c>
      <c r="I238" s="26"/>
      <c r="J238" s="31"/>
      <c r="L238" s="32">
        <f>(J238*E238)</f>
        <v>0</v>
      </c>
    </row>
    <row r="239" spans="1:12" s="15" customFormat="1" ht="29.5" thickTop="1" x14ac:dyDescent="0.35">
      <c r="A239" s="20">
        <v>463</v>
      </c>
      <c r="B239" s="20" t="s">
        <v>640</v>
      </c>
      <c r="C239" s="20" t="s">
        <v>10</v>
      </c>
      <c r="D239" s="20" t="s">
        <v>405</v>
      </c>
      <c r="E239" s="20">
        <v>1</v>
      </c>
      <c r="F239" s="21">
        <v>50000</v>
      </c>
      <c r="G239" s="20" t="s">
        <v>470</v>
      </c>
      <c r="H239" s="20">
        <v>12</v>
      </c>
      <c r="I239" s="20"/>
      <c r="J239" s="21"/>
      <c r="L239" s="16"/>
    </row>
    <row r="240" spans="1:12" s="15" customFormat="1" x14ac:dyDescent="0.35">
      <c r="A240" s="20">
        <v>464</v>
      </c>
      <c r="B240" s="20"/>
      <c r="C240" s="20" t="s">
        <v>314</v>
      </c>
      <c r="D240" s="20" t="s">
        <v>770</v>
      </c>
      <c r="E240" s="20">
        <v>1</v>
      </c>
      <c r="F240" s="21"/>
      <c r="G240" s="20" t="s">
        <v>2</v>
      </c>
      <c r="H240" s="20">
        <v>14</v>
      </c>
      <c r="I240" s="20"/>
      <c r="J240" s="21"/>
      <c r="L240" s="16"/>
    </row>
    <row r="241" spans="1:12" s="15" customFormat="1" x14ac:dyDescent="0.35">
      <c r="A241" s="20">
        <v>467</v>
      </c>
      <c r="B241" s="20" t="s">
        <v>474</v>
      </c>
      <c r="C241" s="20" t="s">
        <v>472</v>
      </c>
      <c r="D241" s="20" t="s">
        <v>473</v>
      </c>
      <c r="E241" s="20">
        <v>1</v>
      </c>
      <c r="F241" s="21">
        <v>100000</v>
      </c>
      <c r="G241" s="20" t="s">
        <v>131</v>
      </c>
      <c r="H241" s="20">
        <v>12</v>
      </c>
      <c r="I241" s="20"/>
      <c r="J241" s="21"/>
      <c r="L241" s="16"/>
    </row>
    <row r="242" spans="1:12" s="15" customFormat="1" ht="15" thickBot="1" x14ac:dyDescent="0.4">
      <c r="A242" s="20">
        <v>468</v>
      </c>
      <c r="B242" s="20" t="s">
        <v>641</v>
      </c>
      <c r="C242" s="20" t="s">
        <v>476</v>
      </c>
      <c r="D242" s="20" t="s">
        <v>475</v>
      </c>
      <c r="E242" s="20">
        <v>1</v>
      </c>
      <c r="F242" s="21">
        <v>60000</v>
      </c>
      <c r="G242" s="20" t="s">
        <v>131</v>
      </c>
      <c r="H242" s="20">
        <v>16</v>
      </c>
      <c r="I242" s="20"/>
      <c r="J242" s="21"/>
      <c r="L242" s="16"/>
    </row>
    <row r="243" spans="1:12" s="13" customFormat="1" ht="15.5" thickTop="1" thickBot="1" x14ac:dyDescent="0.4">
      <c r="A243" s="26">
        <v>469</v>
      </c>
      <c r="B243" s="26" t="s">
        <v>477</v>
      </c>
      <c r="C243" s="26" t="s">
        <v>314</v>
      </c>
      <c r="D243" s="26" t="s">
        <v>478</v>
      </c>
      <c r="E243" s="26">
        <v>1</v>
      </c>
      <c r="F243" s="31">
        <v>120000</v>
      </c>
      <c r="G243" s="26" t="s">
        <v>131</v>
      </c>
      <c r="H243" s="26">
        <v>20</v>
      </c>
      <c r="I243" s="26"/>
      <c r="J243" s="31"/>
      <c r="L243" s="14"/>
    </row>
    <row r="244" spans="1:12" s="15" customFormat="1" ht="15.5" thickTop="1" thickBot="1" x14ac:dyDescent="0.4">
      <c r="A244" s="20">
        <v>473</v>
      </c>
      <c r="B244" s="20" t="s">
        <v>480</v>
      </c>
      <c r="C244" s="20" t="s">
        <v>313</v>
      </c>
      <c r="D244" s="20" t="s">
        <v>335</v>
      </c>
      <c r="E244" s="20">
        <v>1</v>
      </c>
      <c r="F244" s="21">
        <v>50000</v>
      </c>
      <c r="G244" s="20" t="s">
        <v>482</v>
      </c>
      <c r="H244" s="20">
        <v>12</v>
      </c>
      <c r="I244" s="20"/>
      <c r="J244" s="21">
        <v>20000</v>
      </c>
      <c r="L244" s="16">
        <f>J244*E244</f>
        <v>20000</v>
      </c>
    </row>
    <row r="245" spans="1:12" s="13" customFormat="1" ht="15.5" thickTop="1" thickBot="1" x14ac:dyDescent="0.4">
      <c r="A245" s="26">
        <v>474</v>
      </c>
      <c r="B245" s="26" t="s">
        <v>481</v>
      </c>
      <c r="C245" s="26" t="s">
        <v>315</v>
      </c>
      <c r="D245" s="26" t="s">
        <v>335</v>
      </c>
      <c r="E245" s="26">
        <v>2</v>
      </c>
      <c r="F245" s="31">
        <v>80000</v>
      </c>
      <c r="G245" s="26" t="s">
        <v>482</v>
      </c>
      <c r="H245" s="26">
        <v>4</v>
      </c>
      <c r="I245" s="26"/>
      <c r="J245" s="31">
        <v>20000</v>
      </c>
      <c r="L245" s="14">
        <f>J245*E245</f>
        <v>40000</v>
      </c>
    </row>
    <row r="246" spans="1:12" s="15" customFormat="1" ht="15" thickTop="1" x14ac:dyDescent="0.35">
      <c r="A246" s="20">
        <v>478</v>
      </c>
      <c r="B246" s="20" t="s">
        <v>485</v>
      </c>
      <c r="C246" s="20" t="s">
        <v>229</v>
      </c>
      <c r="D246" s="20" t="s">
        <v>484</v>
      </c>
      <c r="E246" s="20">
        <v>1</v>
      </c>
      <c r="F246" s="21">
        <v>110000</v>
      </c>
      <c r="G246" s="20" t="s">
        <v>482</v>
      </c>
      <c r="H246" s="20">
        <v>14</v>
      </c>
      <c r="I246" s="20"/>
      <c r="J246" s="21">
        <v>20000</v>
      </c>
      <c r="L246" s="16">
        <f>J246*E246</f>
        <v>20000</v>
      </c>
    </row>
    <row r="247" spans="1:12" s="15" customFormat="1" ht="15" thickBot="1" x14ac:dyDescent="0.4">
      <c r="A247" s="20">
        <v>485</v>
      </c>
      <c r="B247" s="20" t="s">
        <v>487</v>
      </c>
      <c r="C247" s="20" t="s">
        <v>314</v>
      </c>
      <c r="D247" s="20" t="s">
        <v>486</v>
      </c>
      <c r="E247" s="20">
        <v>1</v>
      </c>
      <c r="F247" s="21">
        <v>90000</v>
      </c>
      <c r="G247" s="20" t="s">
        <v>482</v>
      </c>
      <c r="H247" s="20">
        <v>20</v>
      </c>
      <c r="I247" s="20"/>
      <c r="J247" s="21">
        <v>20000</v>
      </c>
      <c r="L247" s="16">
        <f>J247*E247</f>
        <v>20000</v>
      </c>
    </row>
    <row r="248" spans="1:12" s="13" customFormat="1" ht="15.5" thickTop="1" thickBot="1" x14ac:dyDescent="0.4">
      <c r="A248" s="26">
        <v>489</v>
      </c>
      <c r="B248" s="26" t="s">
        <v>628</v>
      </c>
      <c r="C248" s="26" t="s">
        <v>230</v>
      </c>
      <c r="D248" s="26" t="s">
        <v>247</v>
      </c>
      <c r="E248" s="26">
        <v>1</v>
      </c>
      <c r="F248" s="31">
        <v>70000</v>
      </c>
      <c r="G248" s="26" t="s">
        <v>482</v>
      </c>
      <c r="H248" s="26">
        <v>24</v>
      </c>
      <c r="I248" s="26"/>
      <c r="J248" s="31"/>
      <c r="L248" s="14">
        <f>J248*E248</f>
        <v>0</v>
      </c>
    </row>
    <row r="249" spans="1:12" s="15" customFormat="1" ht="15.5" thickTop="1" thickBot="1" x14ac:dyDescent="0.4">
      <c r="A249" s="20">
        <v>490</v>
      </c>
      <c r="B249" s="20" t="s">
        <v>280</v>
      </c>
      <c r="C249" s="20" t="s">
        <v>281</v>
      </c>
      <c r="D249" s="20" t="s">
        <v>490</v>
      </c>
      <c r="E249" s="20">
        <v>1</v>
      </c>
      <c r="F249" s="21">
        <v>110000</v>
      </c>
      <c r="G249" s="20" t="s">
        <v>482</v>
      </c>
      <c r="H249" s="20">
        <v>12</v>
      </c>
      <c r="I249" s="20"/>
      <c r="J249" s="21">
        <v>20000</v>
      </c>
      <c r="L249" s="16">
        <f>J249*E249</f>
        <v>20000</v>
      </c>
    </row>
    <row r="250" spans="1:12" s="13" customFormat="1" ht="15.5" thickTop="1" thickBot="1" x14ac:dyDescent="0.4">
      <c r="A250" s="26">
        <v>493</v>
      </c>
      <c r="B250" s="26" t="s">
        <v>491</v>
      </c>
      <c r="C250" s="26" t="s">
        <v>417</v>
      </c>
      <c r="D250" s="26" t="s">
        <v>492</v>
      </c>
      <c r="E250" s="26">
        <v>1</v>
      </c>
      <c r="F250" s="31">
        <v>50000</v>
      </c>
      <c r="G250" s="26" t="s">
        <v>482</v>
      </c>
      <c r="H250" s="26">
        <v>20</v>
      </c>
      <c r="I250" s="26"/>
      <c r="J250" s="31">
        <v>20000</v>
      </c>
      <c r="L250" s="14">
        <f>J250*E250</f>
        <v>20000</v>
      </c>
    </row>
    <row r="251" spans="1:12" s="15" customFormat="1" ht="15" thickTop="1" x14ac:dyDescent="0.35">
      <c r="A251" s="20">
        <v>494</v>
      </c>
      <c r="B251" s="20" t="s">
        <v>493</v>
      </c>
      <c r="C251" s="20" t="s">
        <v>313</v>
      </c>
      <c r="D251" s="20" t="s">
        <v>492</v>
      </c>
      <c r="E251" s="20">
        <v>1</v>
      </c>
      <c r="F251" s="21">
        <v>60000</v>
      </c>
      <c r="G251" s="20" t="s">
        <v>482</v>
      </c>
      <c r="H251" s="20">
        <v>12</v>
      </c>
      <c r="I251" s="20"/>
      <c r="J251" s="21">
        <v>20000</v>
      </c>
      <c r="L251" s="16">
        <f>J251*E251</f>
        <v>20000</v>
      </c>
    </row>
    <row r="252" spans="1:12" s="15" customFormat="1" x14ac:dyDescent="0.35">
      <c r="A252" s="20">
        <v>495</v>
      </c>
      <c r="B252" s="20" t="s">
        <v>495</v>
      </c>
      <c r="C252" s="20" t="s">
        <v>494</v>
      </c>
      <c r="D252" s="20" t="s">
        <v>577</v>
      </c>
      <c r="E252" s="20">
        <v>1</v>
      </c>
      <c r="F252" s="21">
        <v>55000</v>
      </c>
      <c r="G252" s="20" t="s">
        <v>482</v>
      </c>
      <c r="H252" s="20">
        <v>12</v>
      </c>
      <c r="I252" s="20"/>
      <c r="J252" s="21">
        <v>20000</v>
      </c>
      <c r="L252" s="16">
        <f>J252*E252</f>
        <v>20000</v>
      </c>
    </row>
    <row r="253" spans="1:12" s="15" customFormat="1" ht="29.5" thickBot="1" x14ac:dyDescent="0.4">
      <c r="A253" s="20">
        <v>499</v>
      </c>
      <c r="B253" s="20" t="s">
        <v>655</v>
      </c>
      <c r="C253" s="20" t="s">
        <v>114</v>
      </c>
      <c r="D253" s="20" t="s">
        <v>489</v>
      </c>
      <c r="E253" s="20">
        <v>1</v>
      </c>
      <c r="F253" s="21">
        <v>100000</v>
      </c>
      <c r="G253" s="20" t="s">
        <v>482</v>
      </c>
      <c r="H253" s="20">
        <v>12</v>
      </c>
      <c r="I253" s="20"/>
      <c r="J253" s="21">
        <v>20000</v>
      </c>
      <c r="L253" s="16">
        <f>J253*E253</f>
        <v>20000</v>
      </c>
    </row>
    <row r="254" spans="1:12" s="13" customFormat="1" ht="15.5" thickTop="1" thickBot="1" x14ac:dyDescent="0.4">
      <c r="A254" s="26">
        <v>503</v>
      </c>
      <c r="B254" s="26" t="s">
        <v>497</v>
      </c>
      <c r="C254" s="26" t="s">
        <v>471</v>
      </c>
      <c r="D254" s="26" t="s">
        <v>496</v>
      </c>
      <c r="E254" s="26">
        <v>1</v>
      </c>
      <c r="F254" s="31">
        <v>80000</v>
      </c>
      <c r="G254" s="26" t="s">
        <v>482</v>
      </c>
      <c r="H254" s="26">
        <v>25</v>
      </c>
      <c r="I254" s="26"/>
      <c r="J254" s="31">
        <v>20000</v>
      </c>
      <c r="L254" s="14">
        <f>J254*E254</f>
        <v>20000</v>
      </c>
    </row>
    <row r="255" spans="1:12" s="13" customFormat="1" ht="15.5" thickTop="1" thickBot="1" x14ac:dyDescent="0.4">
      <c r="A255" s="26">
        <v>505</v>
      </c>
      <c r="B255" s="26"/>
      <c r="C255" s="26" t="s">
        <v>28</v>
      </c>
      <c r="D255" s="26" t="s">
        <v>375</v>
      </c>
      <c r="E255" s="26">
        <v>1</v>
      </c>
      <c r="F255" s="31">
        <v>70000</v>
      </c>
      <c r="G255" s="26" t="s">
        <v>482</v>
      </c>
      <c r="H255" s="26">
        <v>17</v>
      </c>
      <c r="I255" s="26">
        <v>24</v>
      </c>
      <c r="J255" s="31">
        <v>20000</v>
      </c>
      <c r="L255" s="14">
        <f>J255*E255</f>
        <v>20000</v>
      </c>
    </row>
    <row r="256" spans="1:12" s="15" customFormat="1" ht="15.5" thickTop="1" thickBot="1" x14ac:dyDescent="0.4">
      <c r="A256" s="20">
        <v>504</v>
      </c>
      <c r="B256" s="47" t="s">
        <v>469</v>
      </c>
      <c r="C256" s="47" t="s">
        <v>274</v>
      </c>
      <c r="D256" s="47" t="s">
        <v>275</v>
      </c>
      <c r="E256" s="20">
        <v>2</v>
      </c>
      <c r="F256" s="21">
        <v>120000</v>
      </c>
      <c r="G256" s="20" t="s">
        <v>482</v>
      </c>
      <c r="H256" s="20">
        <v>12</v>
      </c>
      <c r="I256" s="20">
        <v>12</v>
      </c>
      <c r="J256" s="21">
        <v>20000</v>
      </c>
      <c r="L256" s="16">
        <f>J256*E256</f>
        <v>40000</v>
      </c>
    </row>
    <row r="257" spans="1:12" s="13" customFormat="1" ht="15.5" thickTop="1" thickBot="1" x14ac:dyDescent="0.4">
      <c r="A257" s="26">
        <v>506</v>
      </c>
      <c r="B257" s="26" t="s">
        <v>719</v>
      </c>
      <c r="C257" s="26" t="s">
        <v>471</v>
      </c>
      <c r="D257" s="26" t="s">
        <v>720</v>
      </c>
      <c r="E257" s="26">
        <v>1</v>
      </c>
      <c r="F257" s="31">
        <v>80000</v>
      </c>
      <c r="G257" s="26" t="s">
        <v>482</v>
      </c>
      <c r="H257" s="26">
        <v>24</v>
      </c>
      <c r="I257" s="26">
        <v>25</v>
      </c>
      <c r="J257" s="31">
        <v>20000</v>
      </c>
      <c r="L257" s="14">
        <v>20000</v>
      </c>
    </row>
    <row r="258" spans="1:12" s="13" customFormat="1" ht="15.5" thickTop="1" thickBot="1" x14ac:dyDescent="0.4">
      <c r="A258" s="26">
        <v>508</v>
      </c>
      <c r="B258" s="26" t="s">
        <v>498</v>
      </c>
      <c r="C258" s="26" t="s">
        <v>315</v>
      </c>
      <c r="D258" s="26" t="s">
        <v>499</v>
      </c>
      <c r="E258" s="26">
        <v>1</v>
      </c>
      <c r="F258" s="31">
        <v>80000</v>
      </c>
      <c r="G258" s="26" t="s">
        <v>131</v>
      </c>
      <c r="H258" s="26">
        <v>19</v>
      </c>
      <c r="I258" s="26"/>
      <c r="J258" s="31"/>
      <c r="L258" s="14">
        <f>J258*E258</f>
        <v>0</v>
      </c>
    </row>
    <row r="259" spans="1:12" s="13" customFormat="1" ht="15.5" thickTop="1" thickBot="1" x14ac:dyDescent="0.4">
      <c r="A259" s="26">
        <v>509</v>
      </c>
      <c r="B259" s="26" t="s">
        <v>503</v>
      </c>
      <c r="C259" s="26" t="s">
        <v>314</v>
      </c>
      <c r="D259" s="26" t="s">
        <v>502</v>
      </c>
      <c r="E259" s="26">
        <v>1</v>
      </c>
      <c r="F259" s="31">
        <v>60000</v>
      </c>
      <c r="G259" s="26" t="s">
        <v>131</v>
      </c>
      <c r="H259" s="26">
        <v>10</v>
      </c>
      <c r="I259" s="26"/>
      <c r="J259" s="31"/>
      <c r="L259" s="14">
        <f>J259*E259</f>
        <v>0</v>
      </c>
    </row>
    <row r="260" spans="1:12" s="13" customFormat="1" ht="15.5" thickTop="1" thickBot="1" x14ac:dyDescent="0.4">
      <c r="A260" s="26">
        <v>510</v>
      </c>
      <c r="B260" s="26" t="s">
        <v>500</v>
      </c>
      <c r="C260" s="26" t="s">
        <v>314</v>
      </c>
      <c r="D260" s="26" t="s">
        <v>501</v>
      </c>
      <c r="E260" s="26">
        <v>1</v>
      </c>
      <c r="F260" s="31">
        <v>60000</v>
      </c>
      <c r="G260" s="26" t="s">
        <v>131</v>
      </c>
      <c r="H260" s="26">
        <v>10</v>
      </c>
      <c r="I260" s="26"/>
      <c r="J260" s="31"/>
      <c r="L260" s="14">
        <f>J260*E260</f>
        <v>0</v>
      </c>
    </row>
    <row r="261" spans="1:12" s="23" customFormat="1" ht="102.5" thickTop="1" thickBot="1" x14ac:dyDescent="0.4">
      <c r="A261" s="26">
        <v>511</v>
      </c>
      <c r="B261" s="26" t="s">
        <v>710</v>
      </c>
      <c r="C261" s="26" t="s">
        <v>227</v>
      </c>
      <c r="D261" s="26" t="s">
        <v>709</v>
      </c>
      <c r="E261" s="26">
        <v>1</v>
      </c>
      <c r="F261" s="31">
        <v>50000</v>
      </c>
      <c r="G261" s="26" t="s">
        <v>2</v>
      </c>
      <c r="H261" s="26">
        <v>3</v>
      </c>
      <c r="I261" s="26"/>
      <c r="J261" s="31"/>
      <c r="L261" s="32">
        <f>J261*E261</f>
        <v>0</v>
      </c>
    </row>
    <row r="262" spans="1:12" s="15" customFormat="1" ht="15.5" thickTop="1" thickBot="1" x14ac:dyDescent="0.4">
      <c r="A262" s="20">
        <v>512</v>
      </c>
      <c r="B262" s="20" t="s">
        <v>504</v>
      </c>
      <c r="C262" s="20" t="s">
        <v>10</v>
      </c>
      <c r="D262" s="20" t="s">
        <v>355</v>
      </c>
      <c r="E262" s="20">
        <v>1</v>
      </c>
      <c r="F262" s="21">
        <v>100000</v>
      </c>
      <c r="G262" s="20" t="s">
        <v>131</v>
      </c>
      <c r="H262" s="20">
        <v>12</v>
      </c>
      <c r="I262" s="20"/>
      <c r="J262" s="21"/>
      <c r="L262" s="16">
        <f>J262*E262</f>
        <v>0</v>
      </c>
    </row>
    <row r="263" spans="1:12" s="13" customFormat="1" ht="15.5" thickTop="1" thickBot="1" x14ac:dyDescent="0.4">
      <c r="A263" s="26">
        <v>513</v>
      </c>
      <c r="B263" s="26" t="s">
        <v>506</v>
      </c>
      <c r="C263" s="26" t="s">
        <v>315</v>
      </c>
      <c r="D263" s="26" t="s">
        <v>505</v>
      </c>
      <c r="E263" s="26">
        <v>1</v>
      </c>
      <c r="F263" s="31">
        <v>90000</v>
      </c>
      <c r="G263" s="26" t="s">
        <v>131</v>
      </c>
      <c r="H263" s="26">
        <v>25</v>
      </c>
      <c r="I263" s="26"/>
      <c r="J263" s="31"/>
      <c r="L263" s="14">
        <f>J263*E263</f>
        <v>0</v>
      </c>
    </row>
    <row r="264" spans="1:12" s="13" customFormat="1" ht="15.5" thickTop="1" thickBot="1" x14ac:dyDescent="0.4">
      <c r="A264" s="26">
        <v>515</v>
      </c>
      <c r="B264" s="26" t="s">
        <v>508</v>
      </c>
      <c r="C264" s="26" t="s">
        <v>479</v>
      </c>
      <c r="D264" s="26" t="s">
        <v>509</v>
      </c>
      <c r="E264" s="26">
        <v>1</v>
      </c>
      <c r="F264" s="31">
        <v>60000</v>
      </c>
      <c r="G264" s="26" t="s">
        <v>131</v>
      </c>
      <c r="H264" s="26">
        <v>10</v>
      </c>
      <c r="I264" s="26"/>
      <c r="J264" s="31"/>
      <c r="L264" s="14">
        <f>J264*E264</f>
        <v>0</v>
      </c>
    </row>
    <row r="265" spans="1:12" s="13" customFormat="1" ht="30" thickTop="1" thickBot="1" x14ac:dyDescent="0.4">
      <c r="A265" s="26">
        <v>529</v>
      </c>
      <c r="B265" s="26" t="s">
        <v>511</v>
      </c>
      <c r="C265" s="26" t="s">
        <v>314</v>
      </c>
      <c r="D265" s="26" t="s">
        <v>512</v>
      </c>
      <c r="E265" s="26">
        <v>1</v>
      </c>
      <c r="F265" s="31">
        <v>120000</v>
      </c>
      <c r="G265" s="26" t="s">
        <v>482</v>
      </c>
      <c r="H265" s="26">
        <v>24</v>
      </c>
      <c r="I265" s="26"/>
      <c r="J265" s="31">
        <v>20000</v>
      </c>
      <c r="L265" s="14">
        <f>J265*E265</f>
        <v>20000</v>
      </c>
    </row>
    <row r="266" spans="1:12" s="15" customFormat="1" ht="29.5" thickTop="1" x14ac:dyDescent="0.35">
      <c r="A266" s="20">
        <v>530</v>
      </c>
      <c r="B266" s="20" t="s">
        <v>513</v>
      </c>
      <c r="C266" s="20" t="s">
        <v>515</v>
      </c>
      <c r="D266" s="20" t="s">
        <v>514</v>
      </c>
      <c r="E266" s="20">
        <v>1</v>
      </c>
      <c r="F266" s="21">
        <v>120000</v>
      </c>
      <c r="G266" s="20" t="s">
        <v>482</v>
      </c>
      <c r="H266" s="20">
        <v>12</v>
      </c>
      <c r="I266" s="20"/>
      <c r="J266" s="21">
        <v>20000</v>
      </c>
      <c r="L266" s="16">
        <f>J266*E266</f>
        <v>20000</v>
      </c>
    </row>
    <row r="267" spans="1:12" s="15" customFormat="1" ht="29" x14ac:dyDescent="0.35">
      <c r="A267" s="20">
        <v>531</v>
      </c>
      <c r="B267" s="20" t="s">
        <v>517</v>
      </c>
      <c r="C267" s="20" t="s">
        <v>372</v>
      </c>
      <c r="D267" s="20" t="s">
        <v>516</v>
      </c>
      <c r="E267" s="20">
        <v>1</v>
      </c>
      <c r="F267" s="21">
        <v>70000</v>
      </c>
      <c r="G267" s="20" t="s">
        <v>482</v>
      </c>
      <c r="H267" s="20">
        <v>10</v>
      </c>
      <c r="I267" s="20"/>
      <c r="J267" s="21">
        <v>20000</v>
      </c>
      <c r="L267" s="16">
        <f>J267*E267</f>
        <v>20000</v>
      </c>
    </row>
    <row r="268" spans="1:12" s="15" customFormat="1" ht="44" thickBot="1" x14ac:dyDescent="0.4">
      <c r="A268" s="20">
        <v>532</v>
      </c>
      <c r="B268" s="20" t="s">
        <v>519</v>
      </c>
      <c r="C268" s="20" t="s">
        <v>515</v>
      </c>
      <c r="D268" s="20" t="s">
        <v>518</v>
      </c>
      <c r="E268" s="20">
        <v>1</v>
      </c>
      <c r="F268" s="21">
        <v>120000</v>
      </c>
      <c r="G268" s="20" t="s">
        <v>482</v>
      </c>
      <c r="H268" s="20">
        <v>12</v>
      </c>
      <c r="I268" s="20"/>
      <c r="J268" s="21">
        <v>20000</v>
      </c>
      <c r="L268" s="16">
        <f>J268*E268</f>
        <v>20000</v>
      </c>
    </row>
    <row r="269" spans="1:12" s="13" customFormat="1" ht="30" thickTop="1" thickBot="1" x14ac:dyDescent="0.4">
      <c r="A269" s="26">
        <v>533</v>
      </c>
      <c r="B269" s="26" t="s">
        <v>520</v>
      </c>
      <c r="C269" s="26" t="s">
        <v>522</v>
      </c>
      <c r="D269" s="26" t="s">
        <v>521</v>
      </c>
      <c r="E269" s="26">
        <v>1</v>
      </c>
      <c r="F269" s="31">
        <v>80000</v>
      </c>
      <c r="G269" s="26" t="s">
        <v>482</v>
      </c>
      <c r="H269" s="26">
        <v>5</v>
      </c>
      <c r="I269" s="26"/>
      <c r="J269" s="31">
        <v>20000</v>
      </c>
      <c r="L269" s="14">
        <f>J269*E269</f>
        <v>20000</v>
      </c>
    </row>
    <row r="270" spans="1:12" s="13" customFormat="1" ht="44.5" thickTop="1" thickBot="1" x14ac:dyDescent="0.4">
      <c r="A270" s="26">
        <v>534</v>
      </c>
      <c r="B270" s="26" t="s">
        <v>524</v>
      </c>
      <c r="C270" s="26" t="s">
        <v>523</v>
      </c>
      <c r="D270" s="26" t="s">
        <v>525</v>
      </c>
      <c r="E270" s="26">
        <v>2</v>
      </c>
      <c r="F270" s="31">
        <v>50000</v>
      </c>
      <c r="G270" s="26" t="s">
        <v>482</v>
      </c>
      <c r="H270" s="26">
        <v>3</v>
      </c>
      <c r="I270" s="26"/>
      <c r="J270" s="31">
        <v>20000</v>
      </c>
      <c r="L270" s="14">
        <f>J270*E270</f>
        <v>40000</v>
      </c>
    </row>
    <row r="271" spans="1:12" s="13" customFormat="1" ht="30" thickTop="1" thickBot="1" x14ac:dyDescent="0.4">
      <c r="A271" s="26">
        <v>535</v>
      </c>
      <c r="B271" s="26" t="s">
        <v>526</v>
      </c>
      <c r="C271" s="26" t="s">
        <v>315</v>
      </c>
      <c r="D271" s="26" t="s">
        <v>642</v>
      </c>
      <c r="E271" s="26">
        <v>1</v>
      </c>
      <c r="F271" s="31">
        <v>100000</v>
      </c>
      <c r="G271" s="26" t="s">
        <v>482</v>
      </c>
      <c r="H271" s="26">
        <v>10</v>
      </c>
      <c r="I271" s="26"/>
      <c r="J271" s="31">
        <v>20000</v>
      </c>
      <c r="L271" s="14">
        <f>J271*E271</f>
        <v>20000</v>
      </c>
    </row>
    <row r="272" spans="1:12" s="15" customFormat="1" ht="15.5" thickTop="1" thickBot="1" x14ac:dyDescent="0.4">
      <c r="A272" s="20">
        <v>539</v>
      </c>
      <c r="B272" s="20" t="s">
        <v>528</v>
      </c>
      <c r="C272" s="20" t="s">
        <v>317</v>
      </c>
      <c r="D272" s="20" t="s">
        <v>527</v>
      </c>
      <c r="E272" s="20">
        <v>1</v>
      </c>
      <c r="F272" s="21">
        <v>70000</v>
      </c>
      <c r="G272" s="20" t="s">
        <v>482</v>
      </c>
      <c r="H272" s="20">
        <v>12</v>
      </c>
      <c r="I272" s="20"/>
      <c r="J272" s="21">
        <v>20000</v>
      </c>
      <c r="L272" s="16">
        <f>J272*E272</f>
        <v>20000</v>
      </c>
    </row>
    <row r="273" spans="1:12" s="13" customFormat="1" ht="30" thickTop="1" thickBot="1" x14ac:dyDescent="0.4">
      <c r="A273" s="26">
        <v>543</v>
      </c>
      <c r="B273" s="26" t="s">
        <v>530</v>
      </c>
      <c r="C273" s="26" t="s">
        <v>417</v>
      </c>
      <c r="D273" s="26" t="s">
        <v>529</v>
      </c>
      <c r="E273" s="26">
        <v>1</v>
      </c>
      <c r="F273" s="31">
        <v>50000</v>
      </c>
      <c r="G273" s="26" t="s">
        <v>482</v>
      </c>
      <c r="H273" s="26">
        <v>5</v>
      </c>
      <c r="I273" s="26"/>
      <c r="J273" s="31">
        <v>20000</v>
      </c>
      <c r="L273" s="14">
        <f>J273*E273</f>
        <v>20000</v>
      </c>
    </row>
    <row r="274" spans="1:12" s="13" customFormat="1" ht="30" thickTop="1" thickBot="1" x14ac:dyDescent="0.4">
      <c r="A274" s="26">
        <v>544</v>
      </c>
      <c r="B274" s="26" t="s">
        <v>531</v>
      </c>
      <c r="C274" s="26" t="s">
        <v>370</v>
      </c>
      <c r="D274" s="26" t="s">
        <v>532</v>
      </c>
      <c r="E274" s="26">
        <v>1</v>
      </c>
      <c r="F274" s="31">
        <v>110000</v>
      </c>
      <c r="G274" s="26" t="s">
        <v>482</v>
      </c>
      <c r="H274" s="26">
        <v>19</v>
      </c>
      <c r="I274" s="26"/>
      <c r="J274" s="31">
        <v>20000</v>
      </c>
      <c r="L274" s="14">
        <f>J274*E274</f>
        <v>20000</v>
      </c>
    </row>
    <row r="275" spans="1:12" s="13" customFormat="1" ht="15.5" thickTop="1" thickBot="1" x14ac:dyDescent="0.4">
      <c r="A275" s="26">
        <v>545</v>
      </c>
      <c r="B275" s="26" t="s">
        <v>534</v>
      </c>
      <c r="C275" s="26" t="s">
        <v>510</v>
      </c>
      <c r="D275" s="26" t="s">
        <v>533</v>
      </c>
      <c r="E275" s="26">
        <v>1</v>
      </c>
      <c r="F275" s="31">
        <v>60000</v>
      </c>
      <c r="G275" s="26" t="s">
        <v>482</v>
      </c>
      <c r="H275" s="26">
        <v>24</v>
      </c>
      <c r="I275" s="26"/>
      <c r="J275" s="31">
        <v>20000</v>
      </c>
      <c r="L275" s="14">
        <f>J275*E275</f>
        <v>20000</v>
      </c>
    </row>
    <row r="276" spans="1:12" s="13" customFormat="1" ht="15.5" thickTop="1" thickBot="1" x14ac:dyDescent="0.4">
      <c r="A276" s="26">
        <v>546</v>
      </c>
      <c r="B276" s="26" t="s">
        <v>535</v>
      </c>
      <c r="C276" s="26" t="s">
        <v>537</v>
      </c>
      <c r="D276" s="26" t="s">
        <v>536</v>
      </c>
      <c r="E276" s="26">
        <v>1</v>
      </c>
      <c r="F276" s="31">
        <v>50000</v>
      </c>
      <c r="G276" s="26" t="s">
        <v>482</v>
      </c>
      <c r="H276" s="26">
        <v>5</v>
      </c>
      <c r="I276" s="26"/>
      <c r="J276" s="31">
        <v>20000</v>
      </c>
      <c r="L276" s="14">
        <f>J276*E276</f>
        <v>20000</v>
      </c>
    </row>
    <row r="277" spans="1:12" s="15" customFormat="1" ht="44" thickTop="1" x14ac:dyDescent="0.35">
      <c r="A277" s="20">
        <v>547</v>
      </c>
      <c r="B277" s="20" t="s">
        <v>539</v>
      </c>
      <c r="C277" s="20" t="s">
        <v>315</v>
      </c>
      <c r="D277" s="20" t="s">
        <v>538</v>
      </c>
      <c r="E277" s="20">
        <v>1</v>
      </c>
      <c r="F277" s="21">
        <v>100000</v>
      </c>
      <c r="G277" s="20" t="s">
        <v>482</v>
      </c>
      <c r="H277" s="20">
        <v>11</v>
      </c>
      <c r="I277" s="20"/>
      <c r="J277" s="21">
        <v>20000</v>
      </c>
      <c r="L277" s="16">
        <f>J277*E277</f>
        <v>20000</v>
      </c>
    </row>
    <row r="278" spans="1:12" s="15" customFormat="1" x14ac:dyDescent="0.35">
      <c r="A278" s="20">
        <v>548</v>
      </c>
      <c r="B278" s="20" t="s">
        <v>469</v>
      </c>
      <c r="C278" s="20" t="s">
        <v>274</v>
      </c>
      <c r="D278" s="20" t="s">
        <v>275</v>
      </c>
      <c r="E278" s="20">
        <v>1</v>
      </c>
      <c r="F278" s="21">
        <v>120000</v>
      </c>
      <c r="G278" s="20" t="s">
        <v>482</v>
      </c>
      <c r="H278" s="20">
        <v>12</v>
      </c>
      <c r="I278" s="20"/>
      <c r="J278" s="21">
        <v>20000</v>
      </c>
      <c r="L278" s="16">
        <f>J278*E278</f>
        <v>20000</v>
      </c>
    </row>
    <row r="279" spans="1:12" s="15" customFormat="1" x14ac:dyDescent="0.35">
      <c r="A279" s="20">
        <v>552</v>
      </c>
      <c r="B279" s="20" t="s">
        <v>540</v>
      </c>
      <c r="C279" s="20" t="s">
        <v>313</v>
      </c>
      <c r="D279" s="20" t="s">
        <v>541</v>
      </c>
      <c r="E279" s="20">
        <v>5</v>
      </c>
      <c r="F279" s="21">
        <v>50000</v>
      </c>
      <c r="G279" s="20" t="s">
        <v>482</v>
      </c>
      <c r="H279" s="20">
        <v>12</v>
      </c>
      <c r="I279" s="20"/>
      <c r="J279" s="21">
        <v>20000</v>
      </c>
      <c r="L279" s="16">
        <f>J279*E279</f>
        <v>100000</v>
      </c>
    </row>
    <row r="280" spans="1:12" s="15" customFormat="1" x14ac:dyDescent="0.35">
      <c r="A280" s="20">
        <v>554</v>
      </c>
      <c r="B280" s="20" t="s">
        <v>542</v>
      </c>
      <c r="C280" s="20" t="s">
        <v>543</v>
      </c>
      <c r="D280" s="20" t="s">
        <v>544</v>
      </c>
      <c r="E280" s="20">
        <v>1</v>
      </c>
      <c r="F280" s="21">
        <v>100000</v>
      </c>
      <c r="G280" s="20" t="s">
        <v>482</v>
      </c>
      <c r="H280" s="20">
        <v>12</v>
      </c>
      <c r="I280" s="20"/>
      <c r="J280" s="21">
        <v>20000</v>
      </c>
      <c r="L280" s="16">
        <f>J280*E280</f>
        <v>20000</v>
      </c>
    </row>
    <row r="281" spans="1:12" s="15" customFormat="1" ht="15" thickBot="1" x14ac:dyDescent="0.4">
      <c r="A281" s="20">
        <v>560</v>
      </c>
      <c r="B281" s="20" t="s">
        <v>546</v>
      </c>
      <c r="C281" s="20" t="s">
        <v>317</v>
      </c>
      <c r="D281" s="20" t="s">
        <v>545</v>
      </c>
      <c r="E281" s="20">
        <v>1</v>
      </c>
      <c r="F281" s="21">
        <v>50000</v>
      </c>
      <c r="G281" s="20" t="s">
        <v>482</v>
      </c>
      <c r="H281" s="20">
        <v>12</v>
      </c>
      <c r="I281" s="20"/>
      <c r="J281" s="21">
        <v>20000</v>
      </c>
      <c r="L281" s="16">
        <f>J281*E281</f>
        <v>20000</v>
      </c>
    </row>
    <row r="282" spans="1:12" s="13" customFormat="1" ht="30" thickTop="1" thickBot="1" x14ac:dyDescent="0.4">
      <c r="A282" s="26">
        <v>563</v>
      </c>
      <c r="B282" s="26" t="s">
        <v>549</v>
      </c>
      <c r="C282" s="26" t="s">
        <v>548</v>
      </c>
      <c r="D282" s="26" t="s">
        <v>547</v>
      </c>
      <c r="E282" s="26">
        <v>1</v>
      </c>
      <c r="F282" s="31">
        <v>80000</v>
      </c>
      <c r="G282" s="26" t="s">
        <v>482</v>
      </c>
      <c r="H282" s="26">
        <v>25</v>
      </c>
      <c r="I282" s="26"/>
      <c r="J282" s="31">
        <v>20000</v>
      </c>
      <c r="L282" s="14">
        <f>J282*E282</f>
        <v>20000</v>
      </c>
    </row>
    <row r="283" spans="1:12" s="13" customFormat="1" ht="30" thickTop="1" thickBot="1" x14ac:dyDescent="0.4">
      <c r="A283" s="26">
        <v>564</v>
      </c>
      <c r="B283" s="26" t="s">
        <v>551</v>
      </c>
      <c r="C283" s="26" t="s">
        <v>422</v>
      </c>
      <c r="D283" s="26" t="s">
        <v>550</v>
      </c>
      <c r="E283" s="26">
        <v>1</v>
      </c>
      <c r="F283" s="31">
        <v>90000</v>
      </c>
      <c r="G283" s="26" t="s">
        <v>482</v>
      </c>
      <c r="H283" s="26">
        <v>21</v>
      </c>
      <c r="I283" s="26"/>
      <c r="J283" s="31">
        <v>20000</v>
      </c>
      <c r="L283" s="14">
        <f>J283*E283</f>
        <v>20000</v>
      </c>
    </row>
    <row r="284" spans="1:12" s="13" customFormat="1" ht="15.5" thickTop="1" thickBot="1" x14ac:dyDescent="0.4">
      <c r="A284" s="26">
        <v>565</v>
      </c>
      <c r="B284" s="26" t="s">
        <v>318</v>
      </c>
      <c r="C284" s="26" t="s">
        <v>553</v>
      </c>
      <c r="D284" s="26" t="s">
        <v>552</v>
      </c>
      <c r="E284" s="26">
        <v>1</v>
      </c>
      <c r="F284" s="31">
        <v>50000</v>
      </c>
      <c r="G284" s="26" t="s">
        <v>482</v>
      </c>
      <c r="H284" s="26">
        <v>25</v>
      </c>
      <c r="I284" s="26"/>
      <c r="J284" s="31">
        <v>20000</v>
      </c>
      <c r="L284" s="14">
        <f>J284*E284</f>
        <v>20000</v>
      </c>
    </row>
    <row r="285" spans="1:12" s="13" customFormat="1" ht="15.5" thickTop="1" thickBot="1" x14ac:dyDescent="0.4">
      <c r="A285" s="26">
        <v>567</v>
      </c>
      <c r="B285" s="26" t="s">
        <v>554</v>
      </c>
      <c r="C285" s="26" t="s">
        <v>314</v>
      </c>
      <c r="D285" s="26" t="s">
        <v>552</v>
      </c>
      <c r="E285" s="26">
        <v>1</v>
      </c>
      <c r="F285" s="31">
        <v>100000</v>
      </c>
      <c r="G285" s="26" t="s">
        <v>482</v>
      </c>
      <c r="H285" s="26">
        <v>21</v>
      </c>
      <c r="I285" s="26"/>
      <c r="J285" s="31">
        <v>20000</v>
      </c>
      <c r="L285" s="14">
        <f>J285*E285</f>
        <v>20000</v>
      </c>
    </row>
    <row r="286" spans="1:12" s="15" customFormat="1" ht="15.5" thickTop="1" thickBot="1" x14ac:dyDescent="0.4">
      <c r="A286" s="20">
        <v>568</v>
      </c>
      <c r="B286" s="20" t="s">
        <v>555</v>
      </c>
      <c r="C286" s="20" t="s">
        <v>317</v>
      </c>
      <c r="D286" s="20" t="s">
        <v>552</v>
      </c>
      <c r="E286" s="20">
        <v>1</v>
      </c>
      <c r="F286" s="21">
        <v>50000</v>
      </c>
      <c r="G286" s="20" t="s">
        <v>482</v>
      </c>
      <c r="H286" s="20">
        <v>12</v>
      </c>
      <c r="I286" s="20"/>
      <c r="J286" s="21">
        <v>20000</v>
      </c>
      <c r="L286" s="16">
        <f>J286*E286</f>
        <v>20000</v>
      </c>
    </row>
    <row r="287" spans="1:12" s="13" customFormat="1" ht="15.5" thickTop="1" thickBot="1" x14ac:dyDescent="0.4">
      <c r="A287" s="26">
        <v>569</v>
      </c>
      <c r="B287" s="26" t="s">
        <v>558</v>
      </c>
      <c r="C287" s="26" t="s">
        <v>557</v>
      </c>
      <c r="D287" s="26" t="s">
        <v>556</v>
      </c>
      <c r="E287" s="26">
        <v>1</v>
      </c>
      <c r="F287" s="31">
        <v>50000</v>
      </c>
      <c r="G287" s="26" t="s">
        <v>482</v>
      </c>
      <c r="H287" s="26">
        <v>14</v>
      </c>
      <c r="I287" s="26"/>
      <c r="J287" s="31">
        <v>20000</v>
      </c>
      <c r="L287" s="14">
        <f>J287*E287</f>
        <v>20000</v>
      </c>
    </row>
    <row r="288" spans="1:12" s="15" customFormat="1" ht="15" thickTop="1" x14ac:dyDescent="0.35">
      <c r="A288" s="20">
        <v>571</v>
      </c>
      <c r="B288" s="20" t="s">
        <v>560</v>
      </c>
      <c r="C288" s="20" t="s">
        <v>315</v>
      </c>
      <c r="D288" s="20" t="s">
        <v>559</v>
      </c>
      <c r="E288" s="20">
        <v>1</v>
      </c>
      <c r="F288" s="21">
        <v>90000</v>
      </c>
      <c r="G288" s="20" t="s">
        <v>482</v>
      </c>
      <c r="H288" s="20">
        <v>16</v>
      </c>
      <c r="I288" s="20"/>
      <c r="J288" s="21">
        <v>30000</v>
      </c>
      <c r="L288" s="16">
        <f>J288*E288</f>
        <v>30000</v>
      </c>
    </row>
    <row r="289" spans="1:12" s="24" customFormat="1" x14ac:dyDescent="0.35">
      <c r="A289" s="58">
        <v>576</v>
      </c>
      <c r="B289" s="58" t="s">
        <v>561</v>
      </c>
      <c r="C289" s="58" t="s">
        <v>471</v>
      </c>
      <c r="D289" s="58" t="s">
        <v>572</v>
      </c>
      <c r="E289" s="58">
        <v>1</v>
      </c>
      <c r="F289" s="59">
        <v>80000</v>
      </c>
      <c r="G289" s="58" t="s">
        <v>482</v>
      </c>
      <c r="H289" s="58">
        <v>21</v>
      </c>
      <c r="I289" s="58"/>
      <c r="J289" s="59">
        <v>20000</v>
      </c>
      <c r="L289" s="34">
        <f>J289*E289</f>
        <v>20000</v>
      </c>
    </row>
    <row r="290" spans="1:12" s="15" customFormat="1" x14ac:dyDescent="0.35">
      <c r="A290" s="20">
        <v>579</v>
      </c>
      <c r="B290" s="20" t="s">
        <v>563</v>
      </c>
      <c r="C290" s="20" t="s">
        <v>564</v>
      </c>
      <c r="D290" s="20" t="s">
        <v>562</v>
      </c>
      <c r="E290" s="20">
        <v>1</v>
      </c>
      <c r="F290" s="21">
        <v>100000</v>
      </c>
      <c r="G290" s="20" t="s">
        <v>482</v>
      </c>
      <c r="H290" s="20">
        <v>12</v>
      </c>
      <c r="I290" s="20"/>
      <c r="J290" s="21">
        <v>20000</v>
      </c>
      <c r="L290" s="16">
        <f>J290*E290</f>
        <v>20000</v>
      </c>
    </row>
    <row r="291" spans="1:12" s="15" customFormat="1" x14ac:dyDescent="0.35">
      <c r="A291" s="20">
        <v>581</v>
      </c>
      <c r="B291" s="20" t="s">
        <v>569</v>
      </c>
      <c r="C291" s="20" t="s">
        <v>313</v>
      </c>
      <c r="D291" s="20" t="s">
        <v>568</v>
      </c>
      <c r="E291" s="20">
        <v>1</v>
      </c>
      <c r="F291" s="21">
        <v>100000</v>
      </c>
      <c r="G291" s="20" t="s">
        <v>482</v>
      </c>
      <c r="H291" s="20">
        <v>16</v>
      </c>
      <c r="I291" s="20"/>
      <c r="J291" s="21"/>
      <c r="L291" s="16">
        <f>J291*E291</f>
        <v>0</v>
      </c>
    </row>
    <row r="292" spans="1:12" s="15" customFormat="1" ht="29.5" thickBot="1" x14ac:dyDescent="0.4">
      <c r="A292" s="20">
        <v>582</v>
      </c>
      <c r="B292" s="20" t="s">
        <v>571</v>
      </c>
      <c r="C292" s="20" t="s">
        <v>313</v>
      </c>
      <c r="D292" s="20" t="s">
        <v>570</v>
      </c>
      <c r="E292" s="20">
        <v>1</v>
      </c>
      <c r="F292" s="21">
        <v>50000</v>
      </c>
      <c r="G292" s="20" t="s">
        <v>482</v>
      </c>
      <c r="H292" s="20">
        <v>12</v>
      </c>
      <c r="I292" s="20"/>
      <c r="J292" s="21"/>
      <c r="L292" s="16">
        <f>J292*E292</f>
        <v>0</v>
      </c>
    </row>
    <row r="293" spans="1:12" s="13" customFormat="1" ht="30" thickTop="1" thickBot="1" x14ac:dyDescent="0.4">
      <c r="A293" s="26">
        <v>583</v>
      </c>
      <c r="B293" s="26" t="s">
        <v>574</v>
      </c>
      <c r="C293" s="26" t="s">
        <v>315</v>
      </c>
      <c r="D293" s="26" t="s">
        <v>573</v>
      </c>
      <c r="E293" s="26">
        <v>1</v>
      </c>
      <c r="F293" s="31">
        <v>110000</v>
      </c>
      <c r="G293" s="26" t="s">
        <v>482</v>
      </c>
      <c r="H293" s="26">
        <v>21</v>
      </c>
      <c r="I293" s="26"/>
      <c r="J293" s="31"/>
      <c r="L293" s="14">
        <f>J293*E293</f>
        <v>0</v>
      </c>
    </row>
    <row r="294" spans="1:12" s="15" customFormat="1" ht="15.5" thickTop="1" thickBot="1" x14ac:dyDescent="0.4">
      <c r="A294" s="20">
        <v>586</v>
      </c>
      <c r="B294" s="20" t="s">
        <v>575</v>
      </c>
      <c r="C294" s="20" t="s">
        <v>293</v>
      </c>
      <c r="D294" s="20" t="s">
        <v>576</v>
      </c>
      <c r="E294" s="20">
        <v>1</v>
      </c>
      <c r="F294" s="21">
        <v>100000</v>
      </c>
      <c r="G294" s="20" t="s">
        <v>482</v>
      </c>
      <c r="H294" s="20">
        <v>12</v>
      </c>
      <c r="I294" s="20"/>
      <c r="J294" s="21"/>
      <c r="L294" s="16">
        <f>J294*E294</f>
        <v>0</v>
      </c>
    </row>
    <row r="295" spans="1:12" s="13" customFormat="1" ht="30" thickTop="1" thickBot="1" x14ac:dyDescent="0.4">
      <c r="A295" s="26">
        <v>587</v>
      </c>
      <c r="B295" s="26" t="s">
        <v>643</v>
      </c>
      <c r="C295" s="26" t="s">
        <v>579</v>
      </c>
      <c r="D295" s="26" t="s">
        <v>578</v>
      </c>
      <c r="E295" s="26">
        <v>1</v>
      </c>
      <c r="F295" s="31">
        <v>90000</v>
      </c>
      <c r="G295" s="26" t="s">
        <v>482</v>
      </c>
      <c r="H295" s="26">
        <v>14</v>
      </c>
      <c r="I295" s="26"/>
      <c r="J295" s="31">
        <v>20000</v>
      </c>
      <c r="L295" s="14">
        <f>J295*E295</f>
        <v>20000</v>
      </c>
    </row>
    <row r="296" spans="1:12" s="15" customFormat="1" ht="44.5" thickTop="1" thickBot="1" x14ac:dyDescent="0.4">
      <c r="A296" s="20">
        <v>588</v>
      </c>
      <c r="B296" s="20" t="s">
        <v>580</v>
      </c>
      <c r="C296" s="20" t="s">
        <v>313</v>
      </c>
      <c r="D296" s="20" t="s">
        <v>581</v>
      </c>
      <c r="E296" s="20">
        <v>1</v>
      </c>
      <c r="F296" s="21">
        <v>90000</v>
      </c>
      <c r="G296" s="20" t="s">
        <v>482</v>
      </c>
      <c r="H296" s="20">
        <v>12</v>
      </c>
      <c r="I296" s="20"/>
      <c r="J296" s="21"/>
      <c r="L296" s="16">
        <f>J296*E296</f>
        <v>0</v>
      </c>
    </row>
    <row r="297" spans="1:12" s="13" customFormat="1" ht="15.5" thickTop="1" thickBot="1" x14ac:dyDescent="0.4">
      <c r="A297" s="26">
        <v>590</v>
      </c>
      <c r="B297" s="26" t="s">
        <v>584</v>
      </c>
      <c r="C297" s="26" t="s">
        <v>583</v>
      </c>
      <c r="D297" s="26" t="s">
        <v>582</v>
      </c>
      <c r="E297" s="26">
        <v>1</v>
      </c>
      <c r="F297" s="31">
        <v>100000</v>
      </c>
      <c r="G297" s="26" t="s">
        <v>482</v>
      </c>
      <c r="H297" s="26">
        <v>24</v>
      </c>
      <c r="I297" s="26"/>
      <c r="J297" s="31"/>
      <c r="L297" s="14">
        <f>J297*E297</f>
        <v>0</v>
      </c>
    </row>
    <row r="298" spans="1:12" s="13" customFormat="1" ht="15.5" thickTop="1" thickBot="1" x14ac:dyDescent="0.4">
      <c r="A298" s="26">
        <v>599</v>
      </c>
      <c r="B298" s="26" t="s">
        <v>602</v>
      </c>
      <c r="C298" s="26" t="s">
        <v>553</v>
      </c>
      <c r="D298" s="26" t="s">
        <v>601</v>
      </c>
      <c r="E298" s="26">
        <v>1</v>
      </c>
      <c r="F298" s="31">
        <v>60000</v>
      </c>
      <c r="G298" s="26" t="s">
        <v>482</v>
      </c>
      <c r="H298" s="26">
        <v>14</v>
      </c>
      <c r="I298" s="26"/>
      <c r="J298" s="31"/>
      <c r="L298" s="14">
        <f>J298*E298</f>
        <v>0</v>
      </c>
    </row>
    <row r="299" spans="1:12" s="15" customFormat="1" ht="15.5" thickTop="1" thickBot="1" x14ac:dyDescent="0.4">
      <c r="A299" s="20">
        <v>601</v>
      </c>
      <c r="B299" s="20" t="s">
        <v>645</v>
      </c>
      <c r="C299" s="20" t="s">
        <v>646</v>
      </c>
      <c r="D299" s="20" t="s">
        <v>644</v>
      </c>
      <c r="E299" s="20">
        <v>1</v>
      </c>
      <c r="F299" s="21">
        <v>40000</v>
      </c>
      <c r="G299" s="20" t="s">
        <v>652</v>
      </c>
      <c r="H299" s="20">
        <v>12</v>
      </c>
      <c r="I299" s="20"/>
      <c r="J299" s="21">
        <v>26000</v>
      </c>
      <c r="L299" s="16">
        <f>J299*E299</f>
        <v>26000</v>
      </c>
    </row>
    <row r="300" spans="1:12" s="13" customFormat="1" ht="15.5" thickTop="1" thickBot="1" x14ac:dyDescent="0.4">
      <c r="A300" s="26">
        <v>605</v>
      </c>
      <c r="B300" s="26" t="s">
        <v>648</v>
      </c>
      <c r="C300" s="26" t="s">
        <v>314</v>
      </c>
      <c r="D300" s="26" t="s">
        <v>647</v>
      </c>
      <c r="E300" s="26">
        <v>1</v>
      </c>
      <c r="F300" s="31">
        <v>110000</v>
      </c>
      <c r="G300" s="26" t="s">
        <v>652</v>
      </c>
      <c r="H300" s="26">
        <v>23</v>
      </c>
      <c r="I300" s="26"/>
      <c r="J300" s="31">
        <v>26000</v>
      </c>
      <c r="L300" s="14">
        <f>J300*E300</f>
        <v>26000</v>
      </c>
    </row>
    <row r="301" spans="1:12" s="15" customFormat="1" ht="15" thickTop="1" x14ac:dyDescent="0.35">
      <c r="A301" s="20">
        <v>608</v>
      </c>
      <c r="B301" s="20" t="s">
        <v>650</v>
      </c>
      <c r="C301" s="20" t="s">
        <v>293</v>
      </c>
      <c r="D301" s="20" t="s">
        <v>649</v>
      </c>
      <c r="E301" s="20">
        <v>1</v>
      </c>
      <c r="F301" s="21">
        <v>70000</v>
      </c>
      <c r="G301" s="20" t="s">
        <v>652</v>
      </c>
      <c r="H301" s="20">
        <v>12</v>
      </c>
      <c r="I301" s="20"/>
      <c r="J301" s="21">
        <v>26000</v>
      </c>
      <c r="L301" s="16">
        <f>J301*E301</f>
        <v>26000</v>
      </c>
    </row>
    <row r="302" spans="1:12" s="15" customFormat="1" ht="102" thickBot="1" x14ac:dyDescent="0.4">
      <c r="A302" s="20">
        <v>614</v>
      </c>
      <c r="B302" s="20" t="s">
        <v>191</v>
      </c>
      <c r="C302" s="42" t="s">
        <v>189</v>
      </c>
      <c r="D302" s="20" t="s">
        <v>653</v>
      </c>
      <c r="E302" s="20">
        <v>1</v>
      </c>
      <c r="F302" s="21">
        <v>60000</v>
      </c>
      <c r="G302" s="20" t="s">
        <v>654</v>
      </c>
      <c r="H302" s="20">
        <v>16</v>
      </c>
      <c r="I302" s="20"/>
      <c r="J302" s="21">
        <v>25000</v>
      </c>
      <c r="K302" s="20"/>
      <c r="L302" s="17">
        <f>(J302*E302)</f>
        <v>25000</v>
      </c>
    </row>
    <row r="303" spans="1:12" s="13" customFormat="1" ht="15.5" thickTop="1" thickBot="1" x14ac:dyDescent="0.4">
      <c r="A303" s="26">
        <v>621</v>
      </c>
      <c r="B303" s="26" t="s">
        <v>658</v>
      </c>
      <c r="C303" s="26" t="s">
        <v>315</v>
      </c>
      <c r="D303" s="26" t="s">
        <v>657</v>
      </c>
      <c r="E303" s="26">
        <v>2</v>
      </c>
      <c r="F303" s="31">
        <v>60000</v>
      </c>
      <c r="G303" s="26" t="s">
        <v>656</v>
      </c>
      <c r="H303" s="26">
        <v>21</v>
      </c>
      <c r="I303" s="26"/>
      <c r="J303" s="31"/>
      <c r="L303" s="14"/>
    </row>
    <row r="304" spans="1:12" s="13" customFormat="1" ht="15.5" thickTop="1" thickBot="1" x14ac:dyDescent="0.4">
      <c r="A304" s="26">
        <v>623</v>
      </c>
      <c r="B304" s="26" t="s">
        <v>660</v>
      </c>
      <c r="C304" s="26" t="s">
        <v>315</v>
      </c>
      <c r="D304" s="26" t="s">
        <v>659</v>
      </c>
      <c r="E304" s="26">
        <v>1</v>
      </c>
      <c r="F304" s="31">
        <v>120000</v>
      </c>
      <c r="G304" s="26" t="s">
        <v>656</v>
      </c>
      <c r="H304" s="26">
        <v>1</v>
      </c>
      <c r="I304" s="26"/>
      <c r="J304" s="31"/>
      <c r="L304" s="14"/>
    </row>
    <row r="305" spans="1:12" s="13" customFormat="1" ht="15.5" thickTop="1" thickBot="1" x14ac:dyDescent="0.4">
      <c r="A305" s="26">
        <v>624</v>
      </c>
      <c r="B305" s="26" t="s">
        <v>681</v>
      </c>
      <c r="C305" s="26" t="s">
        <v>661</v>
      </c>
      <c r="D305" s="26" t="s">
        <v>662</v>
      </c>
      <c r="E305" s="26">
        <v>1</v>
      </c>
      <c r="F305" s="31">
        <v>100000</v>
      </c>
      <c r="G305" s="26" t="s">
        <v>656</v>
      </c>
      <c r="H305" s="26">
        <v>6</v>
      </c>
      <c r="I305" s="26"/>
      <c r="J305" s="31"/>
      <c r="L305" s="14"/>
    </row>
    <row r="306" spans="1:12" s="13" customFormat="1" ht="15.5" thickTop="1" thickBot="1" x14ac:dyDescent="0.4">
      <c r="A306" s="26">
        <v>626</v>
      </c>
      <c r="B306" s="26"/>
      <c r="C306" s="26" t="s">
        <v>483</v>
      </c>
      <c r="D306" s="26" t="s">
        <v>663</v>
      </c>
      <c r="E306" s="26">
        <v>1</v>
      </c>
      <c r="F306" s="31">
        <v>90000</v>
      </c>
      <c r="G306" s="26" t="s">
        <v>565</v>
      </c>
      <c r="H306" s="26">
        <v>17</v>
      </c>
      <c r="I306" s="26"/>
      <c r="J306" s="31"/>
      <c r="L306" s="14"/>
    </row>
    <row r="307" spans="1:12" s="15" customFormat="1" ht="15" thickTop="1" x14ac:dyDescent="0.35">
      <c r="A307" s="20">
        <v>627</v>
      </c>
      <c r="B307" s="20" t="s">
        <v>666</v>
      </c>
      <c r="C307" s="20" t="s">
        <v>664</v>
      </c>
      <c r="D307" s="20" t="s">
        <v>665</v>
      </c>
      <c r="E307" s="20">
        <v>1</v>
      </c>
      <c r="F307" s="21">
        <v>60000</v>
      </c>
      <c r="G307" s="20"/>
      <c r="H307" s="20">
        <v>16</v>
      </c>
      <c r="I307" s="20"/>
      <c r="J307" s="21"/>
      <c r="L307" s="16"/>
    </row>
    <row r="308" spans="1:12" s="15" customFormat="1" x14ac:dyDescent="0.35">
      <c r="A308" s="20">
        <v>629</v>
      </c>
      <c r="B308" s="20"/>
      <c r="C308" s="20" t="s">
        <v>315</v>
      </c>
      <c r="D308" s="20" t="s">
        <v>667</v>
      </c>
      <c r="E308" s="20">
        <v>1</v>
      </c>
      <c r="F308" s="21">
        <v>60000</v>
      </c>
      <c r="G308" s="20"/>
      <c r="H308" s="20">
        <v>16</v>
      </c>
      <c r="I308" s="20"/>
      <c r="J308" s="21"/>
      <c r="L308" s="16"/>
    </row>
    <row r="309" spans="1:12" s="15" customFormat="1" x14ac:dyDescent="0.35">
      <c r="A309" s="20">
        <v>630</v>
      </c>
      <c r="B309" s="20" t="s">
        <v>669</v>
      </c>
      <c r="C309" s="20" t="s">
        <v>314</v>
      </c>
      <c r="D309" s="20" t="s">
        <v>668</v>
      </c>
      <c r="E309" s="20">
        <v>1</v>
      </c>
      <c r="F309" s="21">
        <v>60000</v>
      </c>
      <c r="G309" s="20"/>
      <c r="H309" s="20">
        <v>16</v>
      </c>
      <c r="I309" s="20"/>
      <c r="J309" s="21"/>
      <c r="L309" s="16"/>
    </row>
    <row r="310" spans="1:12" s="15" customFormat="1" ht="15" thickBot="1" x14ac:dyDescent="0.4">
      <c r="A310" s="20">
        <v>636</v>
      </c>
      <c r="B310" s="20"/>
      <c r="C310" s="20" t="s">
        <v>10</v>
      </c>
      <c r="D310" s="20" t="s">
        <v>706</v>
      </c>
      <c r="E310" s="20">
        <v>1</v>
      </c>
      <c r="F310" s="21"/>
      <c r="G310" s="20"/>
      <c r="H310" s="20">
        <v>12</v>
      </c>
      <c r="I310" s="20"/>
      <c r="J310" s="21"/>
      <c r="L310" s="16"/>
    </row>
    <row r="311" spans="1:12" s="13" customFormat="1" ht="30" thickTop="1" thickBot="1" x14ac:dyDescent="0.4">
      <c r="A311" s="26">
        <v>637</v>
      </c>
      <c r="B311" s="26" t="s">
        <v>673</v>
      </c>
      <c r="C311" s="26" t="s">
        <v>229</v>
      </c>
      <c r="D311" s="26" t="s">
        <v>672</v>
      </c>
      <c r="E311" s="26">
        <v>1</v>
      </c>
      <c r="F311" s="31">
        <v>250000</v>
      </c>
      <c r="G311" s="26" t="s">
        <v>654</v>
      </c>
      <c r="H311" s="26">
        <v>25</v>
      </c>
      <c r="I311" s="26"/>
      <c r="J311" s="31"/>
      <c r="L311" s="14"/>
    </row>
    <row r="312" spans="1:12" s="13" customFormat="1" ht="15.5" thickTop="1" thickBot="1" x14ac:dyDescent="0.4">
      <c r="A312" s="26">
        <v>638</v>
      </c>
      <c r="B312" s="26" t="s">
        <v>675</v>
      </c>
      <c r="C312" s="26" t="s">
        <v>28</v>
      </c>
      <c r="D312" s="26" t="s">
        <v>674</v>
      </c>
      <c r="E312" s="26">
        <v>1</v>
      </c>
      <c r="F312" s="31">
        <v>380000</v>
      </c>
      <c r="G312" s="26" t="s">
        <v>654</v>
      </c>
      <c r="H312" s="26">
        <v>25</v>
      </c>
      <c r="I312" s="26"/>
      <c r="J312" s="31"/>
      <c r="L312" s="14"/>
    </row>
    <row r="313" spans="1:12" s="13" customFormat="1" ht="15.5" thickTop="1" thickBot="1" x14ac:dyDescent="0.4">
      <c r="A313" s="26">
        <v>639</v>
      </c>
      <c r="B313" s="26" t="s">
        <v>676</v>
      </c>
      <c r="C313" s="26" t="s">
        <v>56</v>
      </c>
      <c r="D313" s="26" t="s">
        <v>677</v>
      </c>
      <c r="E313" s="26">
        <v>1</v>
      </c>
      <c r="F313" s="31">
        <v>310000</v>
      </c>
      <c r="G313" s="26" t="s">
        <v>654</v>
      </c>
      <c r="H313" s="26">
        <v>25</v>
      </c>
      <c r="I313" s="26"/>
      <c r="J313" s="31"/>
      <c r="L313" s="14"/>
    </row>
    <row r="314" spans="1:12" s="15" customFormat="1" ht="15.5" thickTop="1" thickBot="1" x14ac:dyDescent="0.4">
      <c r="A314" s="28">
        <v>641</v>
      </c>
      <c r="B314" s="28" t="s">
        <v>696</v>
      </c>
      <c r="C314" s="28" t="s">
        <v>314</v>
      </c>
      <c r="D314" s="28" t="s">
        <v>695</v>
      </c>
      <c r="E314" s="28">
        <v>1</v>
      </c>
      <c r="F314" s="36">
        <v>250000</v>
      </c>
      <c r="G314" s="28" t="s">
        <v>482</v>
      </c>
      <c r="H314" s="28">
        <v>1</v>
      </c>
      <c r="I314" s="20"/>
      <c r="J314" s="21"/>
      <c r="L314" s="16"/>
    </row>
    <row r="315" spans="1:12" s="15" customFormat="1" ht="15.5" thickTop="1" thickBot="1" x14ac:dyDescent="0.4">
      <c r="A315" s="28">
        <v>643</v>
      </c>
      <c r="B315" s="28" t="s">
        <v>699</v>
      </c>
      <c r="C315" s="28" t="s">
        <v>698</v>
      </c>
      <c r="D315" s="28" t="s">
        <v>697</v>
      </c>
      <c r="E315" s="28">
        <v>1</v>
      </c>
      <c r="F315" s="36">
        <v>60000</v>
      </c>
      <c r="G315" s="28" t="s">
        <v>482</v>
      </c>
      <c r="H315" s="28" t="s">
        <v>711</v>
      </c>
      <c r="I315" s="20"/>
      <c r="J315" s="21"/>
      <c r="L315" s="16"/>
    </row>
    <row r="316" spans="1:12" s="15" customFormat="1" ht="15.5" thickTop="1" thickBot="1" x14ac:dyDescent="0.4">
      <c r="A316" s="28">
        <v>646</v>
      </c>
      <c r="B316" s="28" t="s">
        <v>701</v>
      </c>
      <c r="C316" s="28" t="s">
        <v>315</v>
      </c>
      <c r="D316" s="28" t="s">
        <v>700</v>
      </c>
      <c r="E316" s="28">
        <v>1</v>
      </c>
      <c r="F316" s="36">
        <v>130000</v>
      </c>
      <c r="G316" s="28" t="s">
        <v>482</v>
      </c>
      <c r="H316" s="28">
        <v>5</v>
      </c>
      <c r="I316" s="20"/>
      <c r="J316" s="21"/>
      <c r="L316" s="16"/>
    </row>
    <row r="317" spans="1:12" s="13" customFormat="1" ht="15.5" thickTop="1" thickBot="1" x14ac:dyDescent="0.4">
      <c r="A317" s="26">
        <v>650</v>
      </c>
      <c r="B317" s="26" t="s">
        <v>702</v>
      </c>
      <c r="C317" s="26" t="s">
        <v>314</v>
      </c>
      <c r="D317" s="26" t="s">
        <v>703</v>
      </c>
      <c r="E317" s="26">
        <v>1</v>
      </c>
      <c r="F317" s="31">
        <v>120000</v>
      </c>
      <c r="G317" s="26" t="s">
        <v>482</v>
      </c>
      <c r="H317" s="26">
        <v>1</v>
      </c>
      <c r="I317" s="26"/>
      <c r="J317" s="31"/>
      <c r="L317" s="14"/>
    </row>
    <row r="318" spans="1:12" s="13" customFormat="1" ht="15.5" thickTop="1" thickBot="1" x14ac:dyDescent="0.4">
      <c r="A318" s="26">
        <v>653</v>
      </c>
      <c r="B318" s="26" t="s">
        <v>704</v>
      </c>
      <c r="C318" s="26" t="s">
        <v>315</v>
      </c>
      <c r="D318" s="26" t="s">
        <v>705</v>
      </c>
      <c r="E318" s="26">
        <v>1</v>
      </c>
      <c r="F318" s="31">
        <v>100000</v>
      </c>
      <c r="G318" s="26" t="s">
        <v>482</v>
      </c>
      <c r="H318" s="26">
        <v>5</v>
      </c>
      <c r="I318" s="26"/>
      <c r="J318" s="31"/>
      <c r="L318" s="14"/>
    </row>
    <row r="319" spans="1:12" s="15" customFormat="1" ht="15" customHeight="1" thickTop="1" x14ac:dyDescent="0.35">
      <c r="A319" s="44">
        <v>659</v>
      </c>
      <c r="B319" s="20" t="s">
        <v>713</v>
      </c>
      <c r="C319" s="20" t="s">
        <v>315</v>
      </c>
      <c r="D319" s="20" t="s">
        <v>714</v>
      </c>
      <c r="E319" s="20">
        <v>1</v>
      </c>
      <c r="F319" s="21">
        <v>280000</v>
      </c>
      <c r="G319" s="20" t="s">
        <v>482</v>
      </c>
      <c r="H319" s="20">
        <v>25</v>
      </c>
      <c r="I319" s="20"/>
      <c r="J319" s="21"/>
      <c r="L319" s="16"/>
    </row>
    <row r="320" spans="1:12" s="15" customFormat="1" x14ac:dyDescent="0.35">
      <c r="A320" s="20">
        <v>663</v>
      </c>
      <c r="B320" s="20" t="s">
        <v>715</v>
      </c>
      <c r="C320" s="20" t="s">
        <v>314</v>
      </c>
      <c r="D320" s="20" t="s">
        <v>716</v>
      </c>
      <c r="E320" s="20">
        <v>1</v>
      </c>
      <c r="F320" s="21">
        <v>150000</v>
      </c>
      <c r="G320" s="20" t="s">
        <v>482</v>
      </c>
      <c r="H320" s="20">
        <v>15</v>
      </c>
      <c r="I320" s="20"/>
      <c r="J320" s="21"/>
      <c r="L320" s="16"/>
    </row>
    <row r="321" spans="1:12" s="15" customFormat="1" x14ac:dyDescent="0.35">
      <c r="A321" s="20">
        <v>664</v>
      </c>
      <c r="B321" s="20" t="s">
        <v>717</v>
      </c>
      <c r="C321" s="20" t="s">
        <v>315</v>
      </c>
      <c r="D321" s="20" t="s">
        <v>718</v>
      </c>
      <c r="E321" s="20">
        <v>1</v>
      </c>
      <c r="F321" s="21">
        <v>150000</v>
      </c>
      <c r="G321" s="20" t="s">
        <v>482</v>
      </c>
      <c r="H321" s="20">
        <v>15</v>
      </c>
      <c r="I321" s="20"/>
      <c r="J321" s="21"/>
      <c r="L321" s="16"/>
    </row>
    <row r="322" spans="1:12" s="15" customFormat="1" x14ac:dyDescent="0.35">
      <c r="A322" s="20">
        <v>667</v>
      </c>
      <c r="B322" s="20" t="s">
        <v>725</v>
      </c>
      <c r="C322" s="20" t="s">
        <v>314</v>
      </c>
      <c r="D322" s="20" t="s">
        <v>723</v>
      </c>
      <c r="E322" s="20">
        <v>1</v>
      </c>
      <c r="F322" s="21"/>
      <c r="G322" s="20" t="s">
        <v>2</v>
      </c>
      <c r="H322" s="20">
        <v>13</v>
      </c>
      <c r="I322" s="20"/>
      <c r="J322" s="21"/>
      <c r="L322" s="16"/>
    </row>
    <row r="323" spans="1:12" s="15" customFormat="1" x14ac:dyDescent="0.35">
      <c r="A323" s="20">
        <v>668</v>
      </c>
      <c r="B323" s="20" t="s">
        <v>726</v>
      </c>
      <c r="C323" s="20" t="s">
        <v>315</v>
      </c>
      <c r="D323" s="20" t="s">
        <v>723</v>
      </c>
      <c r="E323" s="20">
        <v>1</v>
      </c>
      <c r="F323" s="21"/>
      <c r="G323" s="20" t="s">
        <v>2</v>
      </c>
      <c r="H323" s="20">
        <v>13</v>
      </c>
      <c r="I323" s="20"/>
      <c r="J323" s="21"/>
      <c r="L323" s="16"/>
    </row>
    <row r="324" spans="1:12" s="15" customFormat="1" x14ac:dyDescent="0.35">
      <c r="A324" s="20">
        <v>669</v>
      </c>
      <c r="B324" s="20" t="s">
        <v>727</v>
      </c>
      <c r="C324" s="20" t="s">
        <v>341</v>
      </c>
      <c r="D324" s="20" t="s">
        <v>723</v>
      </c>
      <c r="E324" s="20">
        <v>1</v>
      </c>
      <c r="F324" s="21"/>
      <c r="G324" s="20" t="s">
        <v>2</v>
      </c>
      <c r="H324" s="20" t="s">
        <v>229</v>
      </c>
      <c r="I324" s="20"/>
      <c r="J324" s="21"/>
      <c r="L324" s="16"/>
    </row>
    <row r="325" spans="1:12" s="15" customFormat="1" x14ac:dyDescent="0.35">
      <c r="A325" s="20">
        <v>670</v>
      </c>
      <c r="B325" s="20"/>
      <c r="C325" s="20" t="s">
        <v>315</v>
      </c>
      <c r="D325" s="20" t="s">
        <v>728</v>
      </c>
      <c r="E325" s="20">
        <v>1</v>
      </c>
      <c r="F325" s="21"/>
      <c r="G325" s="20" t="s">
        <v>2</v>
      </c>
      <c r="H325" s="20">
        <v>8</v>
      </c>
      <c r="I325" s="20"/>
      <c r="J325" s="21"/>
      <c r="L325" s="16"/>
    </row>
    <row r="326" spans="1:12" s="15" customFormat="1" x14ac:dyDescent="0.35">
      <c r="A326" s="20">
        <v>671</v>
      </c>
      <c r="B326" s="20"/>
      <c r="C326" s="20" t="s">
        <v>315</v>
      </c>
      <c r="D326" s="20" t="s">
        <v>729</v>
      </c>
      <c r="E326" s="20">
        <v>1</v>
      </c>
      <c r="F326" s="21"/>
      <c r="G326" s="20" t="s">
        <v>2</v>
      </c>
      <c r="H326" s="20">
        <v>9</v>
      </c>
      <c r="I326" s="20"/>
      <c r="J326" s="21"/>
      <c r="L326" s="16"/>
    </row>
    <row r="327" spans="1:12" s="15" customFormat="1" x14ac:dyDescent="0.35">
      <c r="A327" s="20">
        <v>672</v>
      </c>
      <c r="B327" s="20"/>
      <c r="C327" s="20" t="s">
        <v>227</v>
      </c>
      <c r="D327" s="20" t="s">
        <v>729</v>
      </c>
      <c r="E327" s="20">
        <v>1</v>
      </c>
      <c r="F327" s="21"/>
      <c r="G327" s="20" t="s">
        <v>2</v>
      </c>
      <c r="H327" s="20" t="s">
        <v>229</v>
      </c>
      <c r="I327" s="20"/>
      <c r="J327" s="21"/>
      <c r="L327" s="16"/>
    </row>
    <row r="328" spans="1:12" s="15" customFormat="1" x14ac:dyDescent="0.35">
      <c r="A328" s="20">
        <v>673</v>
      </c>
      <c r="B328" s="20"/>
      <c r="C328" s="20" t="s">
        <v>315</v>
      </c>
      <c r="D328" s="20" t="s">
        <v>731</v>
      </c>
      <c r="E328" s="20">
        <v>1</v>
      </c>
      <c r="F328" s="21"/>
      <c r="G328" s="20" t="s">
        <v>2</v>
      </c>
      <c r="H328" s="20">
        <v>7</v>
      </c>
      <c r="I328" s="20"/>
      <c r="J328" s="21"/>
      <c r="L328" s="16"/>
    </row>
    <row r="329" spans="1:12" s="15" customFormat="1" x14ac:dyDescent="0.35">
      <c r="A329" s="20">
        <v>674</v>
      </c>
      <c r="B329" s="20"/>
      <c r="C329" s="20" t="s">
        <v>229</v>
      </c>
      <c r="D329" s="20" t="s">
        <v>731</v>
      </c>
      <c r="E329" s="20">
        <v>2</v>
      </c>
      <c r="F329" s="21"/>
      <c r="G329" s="20" t="s">
        <v>2</v>
      </c>
      <c r="H329" s="20" t="s">
        <v>229</v>
      </c>
      <c r="I329" s="20"/>
      <c r="J329" s="21"/>
      <c r="L329" s="16"/>
    </row>
    <row r="330" spans="1:12" s="15" customFormat="1" x14ac:dyDescent="0.35">
      <c r="A330" s="20">
        <v>675</v>
      </c>
      <c r="B330" s="20"/>
      <c r="C330" s="20" t="s">
        <v>315</v>
      </c>
      <c r="D330" s="20" t="s">
        <v>733</v>
      </c>
      <c r="E330" s="20">
        <v>1</v>
      </c>
      <c r="F330" s="21"/>
      <c r="G330" s="20" t="s">
        <v>2</v>
      </c>
      <c r="H330" s="20">
        <v>8</v>
      </c>
      <c r="I330" s="20"/>
      <c r="J330" s="21"/>
      <c r="L330" s="16"/>
    </row>
    <row r="331" spans="1:12" s="15" customFormat="1" x14ac:dyDescent="0.35">
      <c r="A331" s="20">
        <v>676</v>
      </c>
      <c r="B331" s="20"/>
      <c r="C331" s="20" t="s">
        <v>315</v>
      </c>
      <c r="D331" s="20" t="s">
        <v>732</v>
      </c>
      <c r="E331" s="20">
        <v>1</v>
      </c>
      <c r="F331" s="21"/>
      <c r="G331" s="20" t="s">
        <v>2</v>
      </c>
      <c r="H331" s="20">
        <v>6</v>
      </c>
      <c r="I331" s="20"/>
      <c r="J331" s="21"/>
      <c r="L331" s="16"/>
    </row>
    <row r="332" spans="1:12" s="15" customFormat="1" x14ac:dyDescent="0.35">
      <c r="A332" s="20">
        <v>677</v>
      </c>
      <c r="B332" s="20"/>
      <c r="C332" s="20" t="s">
        <v>229</v>
      </c>
      <c r="D332" s="20" t="s">
        <v>734</v>
      </c>
      <c r="E332" s="20">
        <v>1</v>
      </c>
      <c r="F332" s="21"/>
      <c r="G332" s="20" t="s">
        <v>2</v>
      </c>
      <c r="H332" s="20" t="s">
        <v>229</v>
      </c>
      <c r="I332" s="20"/>
      <c r="J332" s="21"/>
      <c r="L332" s="16"/>
    </row>
    <row r="333" spans="1:12" s="15" customFormat="1" x14ac:dyDescent="0.35">
      <c r="A333" s="20">
        <v>678</v>
      </c>
      <c r="B333" s="20"/>
      <c r="C333" s="20" t="s">
        <v>314</v>
      </c>
      <c r="D333" s="20" t="s">
        <v>734</v>
      </c>
      <c r="E333" s="20">
        <v>1</v>
      </c>
      <c r="F333" s="21"/>
      <c r="G333" s="20" t="s">
        <v>2</v>
      </c>
      <c r="H333" s="20">
        <v>8</v>
      </c>
      <c r="I333" s="20"/>
      <c r="J333" s="21"/>
      <c r="L333" s="16"/>
    </row>
    <row r="334" spans="1:12" s="15" customFormat="1" x14ac:dyDescent="0.35">
      <c r="A334" s="20">
        <v>679</v>
      </c>
      <c r="B334" s="20"/>
      <c r="C334" s="20" t="s">
        <v>315</v>
      </c>
      <c r="D334" s="20" t="s">
        <v>734</v>
      </c>
      <c r="E334" s="20">
        <v>1</v>
      </c>
      <c r="F334" s="21"/>
      <c r="G334" s="20" t="s">
        <v>2</v>
      </c>
      <c r="H334" s="20">
        <v>8</v>
      </c>
      <c r="I334" s="20"/>
      <c r="J334" s="21"/>
      <c r="L334" s="16"/>
    </row>
    <row r="335" spans="1:12" s="15" customFormat="1" x14ac:dyDescent="0.35">
      <c r="A335" s="20">
        <v>680</v>
      </c>
      <c r="B335" s="20"/>
      <c r="C335" s="20" t="s">
        <v>315</v>
      </c>
      <c r="D335" s="20" t="s">
        <v>735</v>
      </c>
      <c r="E335" s="20">
        <v>1</v>
      </c>
      <c r="F335" s="21"/>
      <c r="G335" s="20" t="s">
        <v>2</v>
      </c>
      <c r="H335" s="20">
        <v>25</v>
      </c>
      <c r="I335" s="20"/>
      <c r="J335" s="21"/>
      <c r="L335" s="16"/>
    </row>
    <row r="336" spans="1:12" s="15" customFormat="1" x14ac:dyDescent="0.35">
      <c r="A336" s="20">
        <v>681</v>
      </c>
      <c r="B336" s="20"/>
      <c r="C336" s="20" t="s">
        <v>314</v>
      </c>
      <c r="D336" s="20" t="s">
        <v>735</v>
      </c>
      <c r="E336" s="20">
        <v>1</v>
      </c>
      <c r="F336" s="21"/>
      <c r="G336" s="20" t="s">
        <v>2</v>
      </c>
      <c r="H336" s="20">
        <v>8</v>
      </c>
      <c r="I336" s="20"/>
      <c r="J336" s="21"/>
      <c r="L336" s="16"/>
    </row>
    <row r="337" spans="1:12" s="15" customFormat="1" x14ac:dyDescent="0.35">
      <c r="A337" s="20">
        <v>682</v>
      </c>
      <c r="B337" s="20" t="s">
        <v>739</v>
      </c>
      <c r="C337" s="20" t="s">
        <v>736</v>
      </c>
      <c r="D337" s="20" t="s">
        <v>737</v>
      </c>
      <c r="E337" s="20">
        <v>1</v>
      </c>
      <c r="F337" s="21"/>
      <c r="G337" s="20" t="s">
        <v>2</v>
      </c>
      <c r="H337" s="20">
        <v>10</v>
      </c>
      <c r="I337" s="20"/>
      <c r="J337" s="21"/>
      <c r="L337" s="16"/>
    </row>
    <row r="338" spans="1:12" s="15" customFormat="1" x14ac:dyDescent="0.35">
      <c r="A338" s="20">
        <v>683</v>
      </c>
      <c r="B338" s="20"/>
      <c r="C338" s="20" t="s">
        <v>229</v>
      </c>
      <c r="D338" s="20" t="s">
        <v>737</v>
      </c>
      <c r="E338" s="20">
        <v>1</v>
      </c>
      <c r="F338" s="21"/>
      <c r="G338" s="20" t="s">
        <v>2</v>
      </c>
      <c r="H338" s="20">
        <v>21</v>
      </c>
      <c r="I338" s="20"/>
      <c r="J338" s="21"/>
      <c r="L338" s="16"/>
    </row>
    <row r="339" spans="1:12" s="15" customFormat="1" x14ac:dyDescent="0.35">
      <c r="A339" s="20">
        <v>684</v>
      </c>
      <c r="B339" s="20" t="s">
        <v>738</v>
      </c>
      <c r="C339" s="20" t="s">
        <v>741</v>
      </c>
      <c r="D339" s="20" t="s">
        <v>737</v>
      </c>
      <c r="E339" s="20">
        <v>1</v>
      </c>
      <c r="F339" s="21"/>
      <c r="G339" s="20" t="s">
        <v>2</v>
      </c>
      <c r="H339" s="20">
        <v>10</v>
      </c>
      <c r="I339" s="20"/>
      <c r="J339" s="21"/>
      <c r="L339" s="16"/>
    </row>
    <row r="340" spans="1:12" s="15" customFormat="1" x14ac:dyDescent="0.35">
      <c r="A340" s="20">
        <v>685</v>
      </c>
      <c r="B340" s="20" t="s">
        <v>740</v>
      </c>
      <c r="C340" s="20" t="s">
        <v>736</v>
      </c>
      <c r="D340" s="20" t="s">
        <v>737</v>
      </c>
      <c r="E340" s="20">
        <v>1</v>
      </c>
      <c r="F340" s="21"/>
      <c r="G340" s="20" t="s">
        <v>2</v>
      </c>
      <c r="H340" s="20">
        <v>10</v>
      </c>
      <c r="I340" s="20"/>
      <c r="J340" s="21"/>
      <c r="L340" s="16"/>
    </row>
    <row r="341" spans="1:12" s="15" customFormat="1" x14ac:dyDescent="0.35">
      <c r="A341" s="20">
        <v>686</v>
      </c>
      <c r="B341" s="20"/>
      <c r="C341" s="20" t="s">
        <v>263</v>
      </c>
      <c r="D341" s="20" t="s">
        <v>737</v>
      </c>
      <c r="E341" s="20">
        <v>1</v>
      </c>
      <c r="F341" s="21"/>
      <c r="G341" s="20" t="s">
        <v>2</v>
      </c>
      <c r="H341" s="20">
        <v>21</v>
      </c>
      <c r="I341" s="20"/>
      <c r="J341" s="21"/>
      <c r="L341" s="16"/>
    </row>
    <row r="342" spans="1:12" s="15" customFormat="1" x14ac:dyDescent="0.35">
      <c r="A342" s="20">
        <v>687</v>
      </c>
      <c r="B342" s="20"/>
      <c r="C342" s="20" t="s">
        <v>742</v>
      </c>
      <c r="D342" s="20" t="s">
        <v>737</v>
      </c>
      <c r="E342" s="20">
        <v>1</v>
      </c>
      <c r="F342" s="21"/>
      <c r="G342" s="20" t="s">
        <v>2</v>
      </c>
      <c r="H342" s="20">
        <v>21</v>
      </c>
      <c r="I342" s="20"/>
      <c r="J342" s="21"/>
      <c r="L342" s="16"/>
    </row>
    <row r="343" spans="1:12" s="15" customFormat="1" x14ac:dyDescent="0.35">
      <c r="A343" s="20">
        <v>688</v>
      </c>
      <c r="B343" s="20"/>
      <c r="C343" s="20" t="s">
        <v>229</v>
      </c>
      <c r="D343" s="20" t="s">
        <v>737</v>
      </c>
      <c r="E343" s="20">
        <v>1</v>
      </c>
      <c r="F343" s="21"/>
      <c r="G343" s="20" t="s">
        <v>2</v>
      </c>
      <c r="H343" s="20">
        <v>21</v>
      </c>
      <c r="I343" s="20"/>
      <c r="J343" s="21"/>
      <c r="L343" s="16"/>
    </row>
    <row r="344" spans="1:12" s="15" customFormat="1" ht="29" x14ac:dyDescent="0.35">
      <c r="A344" s="20">
        <v>689</v>
      </c>
      <c r="B344" s="20"/>
      <c r="C344" s="20" t="s">
        <v>314</v>
      </c>
      <c r="D344" s="20" t="s">
        <v>743</v>
      </c>
      <c r="E344" s="20">
        <v>1</v>
      </c>
      <c r="F344" s="21"/>
      <c r="G344" s="20" t="s">
        <v>2</v>
      </c>
      <c r="H344" s="20">
        <v>5</v>
      </c>
      <c r="I344" s="20"/>
      <c r="J344" s="21"/>
      <c r="L344" s="16"/>
    </row>
    <row r="345" spans="1:12" s="15" customFormat="1" x14ac:dyDescent="0.35">
      <c r="A345" s="20">
        <v>690</v>
      </c>
      <c r="B345" s="20"/>
      <c r="C345" s="20" t="s">
        <v>744</v>
      </c>
      <c r="D345" s="20" t="s">
        <v>745</v>
      </c>
      <c r="E345" s="20">
        <v>1</v>
      </c>
      <c r="F345" s="21"/>
      <c r="G345" s="20" t="s">
        <v>2</v>
      </c>
      <c r="H345" s="20">
        <v>6</v>
      </c>
      <c r="I345" s="20"/>
      <c r="J345" s="21"/>
      <c r="L345" s="16"/>
    </row>
    <row r="346" spans="1:12" s="15" customFormat="1" x14ac:dyDescent="0.35">
      <c r="A346" s="20">
        <v>691</v>
      </c>
      <c r="B346" s="20"/>
      <c r="C346" s="20" t="s">
        <v>315</v>
      </c>
      <c r="D346" s="20" t="s">
        <v>746</v>
      </c>
      <c r="E346" s="20">
        <v>1</v>
      </c>
      <c r="F346" s="21"/>
      <c r="G346" s="20" t="s">
        <v>2</v>
      </c>
      <c r="H346" s="20">
        <v>25</v>
      </c>
      <c r="I346" s="20"/>
      <c r="J346" s="21"/>
      <c r="L346" s="16"/>
    </row>
    <row r="347" spans="1:12" s="15" customFormat="1" x14ac:dyDescent="0.35">
      <c r="A347" s="20">
        <v>692</v>
      </c>
      <c r="B347" s="20"/>
      <c r="C347" s="20" t="s">
        <v>314</v>
      </c>
      <c r="D347" s="20" t="s">
        <v>747</v>
      </c>
      <c r="E347" s="20">
        <v>1</v>
      </c>
      <c r="F347" s="21"/>
      <c r="G347" s="20" t="s">
        <v>2</v>
      </c>
      <c r="H347" s="20">
        <v>13</v>
      </c>
      <c r="I347" s="20"/>
      <c r="J347" s="21"/>
      <c r="L347" s="16"/>
    </row>
    <row r="348" spans="1:12" s="15" customFormat="1" x14ac:dyDescent="0.35">
      <c r="A348" s="20">
        <v>693</v>
      </c>
      <c r="B348" s="20"/>
      <c r="C348" s="20" t="s">
        <v>229</v>
      </c>
      <c r="D348" s="20" t="s">
        <v>747</v>
      </c>
      <c r="E348" s="20">
        <v>1</v>
      </c>
      <c r="F348" s="21"/>
      <c r="G348" s="20" t="s">
        <v>2</v>
      </c>
      <c r="H348" s="20" t="s">
        <v>229</v>
      </c>
      <c r="I348" s="20"/>
      <c r="J348" s="21"/>
      <c r="L348" s="16"/>
    </row>
    <row r="349" spans="1:12" s="15" customFormat="1" x14ac:dyDescent="0.35">
      <c r="A349" s="20">
        <v>694</v>
      </c>
      <c r="B349" s="20"/>
      <c r="C349" s="20" t="s">
        <v>10</v>
      </c>
      <c r="D349" s="20" t="s">
        <v>747</v>
      </c>
      <c r="E349" s="20">
        <v>1</v>
      </c>
      <c r="F349" s="21"/>
      <c r="G349" s="20" t="s">
        <v>2</v>
      </c>
      <c r="H349" s="20">
        <v>12</v>
      </c>
      <c r="I349" s="20"/>
      <c r="J349" s="21"/>
      <c r="L349" s="16"/>
    </row>
    <row r="350" spans="1:12" s="15" customFormat="1" x14ac:dyDescent="0.35">
      <c r="A350" s="20">
        <v>695</v>
      </c>
      <c r="B350" s="20"/>
      <c r="C350" s="20" t="s">
        <v>748</v>
      </c>
      <c r="D350" s="20" t="s">
        <v>747</v>
      </c>
      <c r="E350" s="20">
        <v>1</v>
      </c>
      <c r="F350" s="21"/>
      <c r="G350" s="20" t="s">
        <v>2</v>
      </c>
      <c r="H350" s="20">
        <v>2</v>
      </c>
      <c r="I350" s="20"/>
      <c r="J350" s="21"/>
      <c r="L350" s="16"/>
    </row>
    <row r="351" spans="1:12" s="15" customFormat="1" x14ac:dyDescent="0.35">
      <c r="A351" s="20">
        <v>696</v>
      </c>
      <c r="B351" s="20"/>
      <c r="C351" s="20" t="s">
        <v>315</v>
      </c>
      <c r="D351" s="20" t="s">
        <v>747</v>
      </c>
      <c r="E351" s="20">
        <v>1</v>
      </c>
      <c r="F351" s="21"/>
      <c r="G351" s="20" t="s">
        <v>2</v>
      </c>
      <c r="H351" s="20">
        <v>11</v>
      </c>
      <c r="I351" s="20"/>
      <c r="J351" s="21"/>
      <c r="L351" s="16"/>
    </row>
    <row r="352" spans="1:12" s="15" customFormat="1" ht="101.5" x14ac:dyDescent="0.35">
      <c r="A352" s="20">
        <v>697</v>
      </c>
      <c r="B352" s="20"/>
      <c r="C352" s="20" t="s">
        <v>315</v>
      </c>
      <c r="D352" s="20" t="s">
        <v>750</v>
      </c>
      <c r="E352" s="20">
        <v>1</v>
      </c>
      <c r="F352" s="21"/>
      <c r="G352" s="20" t="s">
        <v>2</v>
      </c>
      <c r="H352" s="20">
        <v>25</v>
      </c>
      <c r="I352" s="20"/>
      <c r="J352" s="21"/>
      <c r="L352" s="16"/>
    </row>
    <row r="353" spans="1:12" s="15" customFormat="1" x14ac:dyDescent="0.35">
      <c r="A353" s="20">
        <v>698</v>
      </c>
      <c r="B353" s="20" t="s">
        <v>751</v>
      </c>
      <c r="C353" s="20" t="s">
        <v>314</v>
      </c>
      <c r="D353" s="20" t="s">
        <v>749</v>
      </c>
      <c r="E353" s="20">
        <v>1</v>
      </c>
      <c r="F353" s="21"/>
      <c r="G353" s="20" t="s">
        <v>2</v>
      </c>
      <c r="H353" s="20">
        <v>2</v>
      </c>
      <c r="I353" s="20"/>
      <c r="J353" s="21"/>
      <c r="L353" s="16"/>
    </row>
    <row r="354" spans="1:12" s="15" customFormat="1" x14ac:dyDescent="0.35">
      <c r="A354" s="20">
        <v>699</v>
      </c>
      <c r="B354" s="20"/>
      <c r="C354" s="20" t="s">
        <v>229</v>
      </c>
      <c r="D354" s="20" t="s">
        <v>752</v>
      </c>
      <c r="E354" s="20">
        <v>1</v>
      </c>
      <c r="F354" s="21"/>
      <c r="G354" s="20" t="s">
        <v>2</v>
      </c>
      <c r="H354" s="20" t="s">
        <v>229</v>
      </c>
      <c r="I354" s="20"/>
      <c r="J354" s="21"/>
      <c r="L354" s="16"/>
    </row>
    <row r="355" spans="1:12" s="15" customFormat="1" x14ac:dyDescent="0.35">
      <c r="A355" s="20">
        <v>700</v>
      </c>
      <c r="B355" s="20" t="s">
        <v>753</v>
      </c>
      <c r="C355" s="20" t="s">
        <v>314</v>
      </c>
      <c r="D355" s="20" t="s">
        <v>752</v>
      </c>
      <c r="E355" s="20">
        <v>1</v>
      </c>
      <c r="F355" s="21"/>
      <c r="G355" s="20" t="s">
        <v>2</v>
      </c>
      <c r="H355" s="20">
        <v>11</v>
      </c>
      <c r="I355" s="20"/>
      <c r="J355" s="21"/>
      <c r="L355" s="16"/>
    </row>
    <row r="356" spans="1:12" s="15" customFormat="1" x14ac:dyDescent="0.35">
      <c r="A356" s="20">
        <v>701</v>
      </c>
      <c r="B356" s="20"/>
      <c r="C356" s="20" t="s">
        <v>315</v>
      </c>
      <c r="D356" s="20" t="s">
        <v>752</v>
      </c>
      <c r="E356" s="20">
        <v>1</v>
      </c>
      <c r="F356" s="21"/>
      <c r="G356" s="20" t="s">
        <v>2</v>
      </c>
      <c r="H356" s="20">
        <v>11</v>
      </c>
      <c r="I356" s="20"/>
      <c r="J356" s="21"/>
      <c r="L356" s="16"/>
    </row>
    <row r="357" spans="1:12" s="15" customFormat="1" x14ac:dyDescent="0.35">
      <c r="A357" s="20">
        <v>702</v>
      </c>
      <c r="B357" s="20"/>
      <c r="C357" s="20" t="s">
        <v>229</v>
      </c>
      <c r="D357" s="20" t="s">
        <v>754</v>
      </c>
      <c r="E357" s="20">
        <v>1</v>
      </c>
      <c r="F357" s="21"/>
      <c r="G357" s="20" t="s">
        <v>2</v>
      </c>
      <c r="H357" s="20" t="s">
        <v>229</v>
      </c>
      <c r="I357" s="20"/>
      <c r="J357" s="21"/>
      <c r="L357" s="16"/>
    </row>
    <row r="358" spans="1:12" s="15" customFormat="1" x14ac:dyDescent="0.35">
      <c r="A358" s="20">
        <v>703</v>
      </c>
      <c r="B358" s="20"/>
      <c r="C358" s="20" t="s">
        <v>314</v>
      </c>
      <c r="D358" s="20" t="s">
        <v>754</v>
      </c>
      <c r="E358" s="20">
        <v>1</v>
      </c>
      <c r="F358" s="21"/>
      <c r="G358" s="20" t="s">
        <v>2</v>
      </c>
      <c r="H358" s="20">
        <v>11</v>
      </c>
      <c r="I358" s="20"/>
      <c r="J358" s="21"/>
      <c r="L358" s="16"/>
    </row>
    <row r="359" spans="1:12" s="15" customFormat="1" x14ac:dyDescent="0.35">
      <c r="A359" s="20">
        <v>704</v>
      </c>
      <c r="B359" s="20"/>
      <c r="C359" s="20" t="s">
        <v>315</v>
      </c>
      <c r="D359" s="20" t="s">
        <v>754</v>
      </c>
      <c r="E359" s="20">
        <v>1</v>
      </c>
      <c r="F359" s="21"/>
      <c r="G359" s="20" t="s">
        <v>2</v>
      </c>
      <c r="H359" s="20">
        <v>12</v>
      </c>
      <c r="I359" s="20"/>
      <c r="J359" s="21"/>
      <c r="L359" s="16"/>
    </row>
    <row r="360" spans="1:12" s="15" customFormat="1" x14ac:dyDescent="0.35">
      <c r="A360" s="20">
        <v>705</v>
      </c>
      <c r="B360" s="20"/>
      <c r="C360" s="20" t="s">
        <v>317</v>
      </c>
      <c r="D360" s="20" t="s">
        <v>755</v>
      </c>
      <c r="E360" s="20">
        <v>1</v>
      </c>
      <c r="F360" s="21"/>
      <c r="G360" s="20" t="s">
        <v>2</v>
      </c>
      <c r="H360" s="20">
        <v>12</v>
      </c>
      <c r="I360" s="20"/>
      <c r="J360" s="21"/>
      <c r="L360" s="16"/>
    </row>
    <row r="361" spans="1:12" s="15" customFormat="1" x14ac:dyDescent="0.35">
      <c r="A361" s="20">
        <v>706</v>
      </c>
      <c r="B361" s="20"/>
      <c r="C361" s="20" t="s">
        <v>360</v>
      </c>
      <c r="D361" s="20" t="s">
        <v>756</v>
      </c>
      <c r="E361" s="20">
        <v>1</v>
      </c>
      <c r="F361" s="21"/>
      <c r="G361" s="20" t="s">
        <v>2</v>
      </c>
      <c r="H361" s="20">
        <v>12</v>
      </c>
      <c r="I361" s="20"/>
      <c r="J361" s="21"/>
      <c r="L361" s="16"/>
    </row>
    <row r="362" spans="1:12" s="15" customFormat="1" x14ac:dyDescent="0.35">
      <c r="A362" s="20">
        <v>707</v>
      </c>
      <c r="B362" s="20"/>
      <c r="C362" s="20" t="s">
        <v>314</v>
      </c>
      <c r="D362" s="20" t="s">
        <v>757</v>
      </c>
      <c r="E362" s="20">
        <v>2</v>
      </c>
      <c r="F362" s="21"/>
      <c r="G362" s="20" t="s">
        <v>2</v>
      </c>
      <c r="H362" s="20">
        <v>11</v>
      </c>
      <c r="I362" s="20"/>
      <c r="J362" s="21"/>
      <c r="L362" s="16"/>
    </row>
    <row r="363" spans="1:12" s="15" customFormat="1" x14ac:dyDescent="0.35">
      <c r="A363" s="20">
        <v>708</v>
      </c>
      <c r="B363" s="20" t="s">
        <v>758</v>
      </c>
      <c r="C363" s="20" t="s">
        <v>315</v>
      </c>
      <c r="D363" s="20" t="s">
        <v>757</v>
      </c>
      <c r="E363" s="20">
        <v>1</v>
      </c>
      <c r="F363" s="21"/>
      <c r="G363" s="20" t="s">
        <v>2</v>
      </c>
      <c r="H363" s="20">
        <v>11</v>
      </c>
      <c r="I363" s="20"/>
      <c r="J363" s="21"/>
      <c r="L363" s="16"/>
    </row>
    <row r="364" spans="1:12" s="15" customFormat="1" x14ac:dyDescent="0.35">
      <c r="A364" s="20">
        <v>709</v>
      </c>
      <c r="B364" s="20"/>
      <c r="C364" s="20" t="s">
        <v>229</v>
      </c>
      <c r="D364" s="20" t="s">
        <v>757</v>
      </c>
      <c r="E364" s="20">
        <v>2</v>
      </c>
      <c r="F364" s="21"/>
      <c r="G364" s="20" t="s">
        <v>2</v>
      </c>
      <c r="H364" s="20">
        <v>11</v>
      </c>
      <c r="I364" s="20"/>
      <c r="J364" s="21"/>
      <c r="L364" s="16"/>
    </row>
    <row r="365" spans="1:12" s="15" customFormat="1" x14ac:dyDescent="0.35">
      <c r="A365" s="20">
        <v>710</v>
      </c>
      <c r="B365" s="20"/>
      <c r="C365" s="20" t="s">
        <v>315</v>
      </c>
      <c r="D365" s="20" t="s">
        <v>759</v>
      </c>
      <c r="E365" s="20">
        <v>1</v>
      </c>
      <c r="F365" s="21"/>
      <c r="G365" s="20" t="s">
        <v>2</v>
      </c>
      <c r="H365" s="20">
        <v>11</v>
      </c>
      <c r="I365" s="20"/>
      <c r="J365" s="21"/>
      <c r="L365" s="16"/>
    </row>
    <row r="366" spans="1:12" s="15" customFormat="1" x14ac:dyDescent="0.35">
      <c r="A366" s="20">
        <v>711</v>
      </c>
      <c r="B366" s="20"/>
      <c r="C366" s="20" t="s">
        <v>315</v>
      </c>
      <c r="D366" s="20" t="s">
        <v>760</v>
      </c>
      <c r="E366" s="20">
        <v>1</v>
      </c>
      <c r="F366" s="21"/>
      <c r="G366" s="20" t="s">
        <v>2</v>
      </c>
      <c r="H366" s="20">
        <v>15</v>
      </c>
      <c r="I366" s="20"/>
      <c r="J366" s="21"/>
      <c r="L366" s="16"/>
    </row>
    <row r="367" spans="1:12" s="15" customFormat="1" x14ac:dyDescent="0.35">
      <c r="A367" s="20">
        <v>712</v>
      </c>
      <c r="B367" s="20"/>
      <c r="C367" s="20" t="s">
        <v>314</v>
      </c>
      <c r="D367" s="20" t="s">
        <v>761</v>
      </c>
      <c r="E367" s="20">
        <v>1</v>
      </c>
      <c r="F367" s="21"/>
      <c r="G367" s="20" t="s">
        <v>2</v>
      </c>
      <c r="H367" s="20">
        <v>15</v>
      </c>
      <c r="I367" s="20"/>
      <c r="J367" s="21"/>
      <c r="L367" s="16"/>
    </row>
    <row r="368" spans="1:12" s="15" customFormat="1" x14ac:dyDescent="0.35">
      <c r="A368" s="20">
        <v>713</v>
      </c>
      <c r="B368" s="20"/>
      <c r="C368" s="20" t="s">
        <v>314</v>
      </c>
      <c r="D368" s="20" t="s">
        <v>762</v>
      </c>
      <c r="E368" s="20">
        <v>1</v>
      </c>
      <c r="F368" s="21"/>
      <c r="G368" s="20" t="s">
        <v>2</v>
      </c>
      <c r="H368" s="20">
        <v>11</v>
      </c>
      <c r="I368" s="20"/>
      <c r="J368" s="21"/>
      <c r="L368" s="16"/>
    </row>
    <row r="369" spans="1:12" s="15" customFormat="1" ht="174" x14ac:dyDescent="0.35">
      <c r="A369" s="20">
        <v>714</v>
      </c>
      <c r="B369" s="20"/>
      <c r="C369" s="20" t="s">
        <v>315</v>
      </c>
      <c r="D369" s="20" t="s">
        <v>763</v>
      </c>
      <c r="E369" s="20">
        <v>1</v>
      </c>
      <c r="F369" s="21"/>
      <c r="G369" s="20" t="s">
        <v>2</v>
      </c>
      <c r="H369" s="20">
        <v>11</v>
      </c>
      <c r="I369" s="20"/>
      <c r="J369" s="21"/>
      <c r="L369" s="16"/>
    </row>
    <row r="370" spans="1:12" s="15" customFormat="1" x14ac:dyDescent="0.35">
      <c r="A370" s="20">
        <v>715</v>
      </c>
      <c r="B370" s="20"/>
      <c r="C370" s="20" t="s">
        <v>315</v>
      </c>
      <c r="D370" s="20" t="s">
        <v>764</v>
      </c>
      <c r="E370" s="20">
        <v>1</v>
      </c>
      <c r="F370" s="21"/>
      <c r="G370" s="20" t="s">
        <v>2</v>
      </c>
      <c r="H370" s="20">
        <v>1</v>
      </c>
      <c r="I370" s="20"/>
      <c r="J370" s="21"/>
      <c r="L370" s="16"/>
    </row>
    <row r="371" spans="1:12" s="15" customFormat="1" x14ac:dyDescent="0.35">
      <c r="A371" s="20">
        <v>716</v>
      </c>
      <c r="B371" s="20" t="s">
        <v>765</v>
      </c>
      <c r="C371" s="20" t="s">
        <v>314</v>
      </c>
      <c r="D371" s="20" t="s">
        <v>764</v>
      </c>
      <c r="E371" s="20">
        <v>1</v>
      </c>
      <c r="F371" s="21"/>
      <c r="G371" s="20" t="s">
        <v>2</v>
      </c>
      <c r="H371" s="20">
        <v>1</v>
      </c>
      <c r="I371" s="20"/>
      <c r="J371" s="21"/>
      <c r="L371" s="16"/>
    </row>
    <row r="372" spans="1:12" s="15" customFormat="1" x14ac:dyDescent="0.35">
      <c r="A372" s="20">
        <v>717</v>
      </c>
      <c r="B372" s="20"/>
      <c r="C372" s="20" t="s">
        <v>314</v>
      </c>
      <c r="D372" s="20" t="s">
        <v>766</v>
      </c>
      <c r="E372" s="20">
        <v>1</v>
      </c>
      <c r="F372" s="21"/>
      <c r="G372" s="20" t="s">
        <v>2</v>
      </c>
      <c r="H372" s="20">
        <v>1</v>
      </c>
      <c r="I372" s="20"/>
      <c r="J372" s="21"/>
      <c r="L372" s="16"/>
    </row>
    <row r="373" spans="1:12" s="15" customFormat="1" ht="409.5" x14ac:dyDescent="0.35">
      <c r="A373" s="20">
        <v>718</v>
      </c>
      <c r="B373" s="20"/>
      <c r="C373" s="20" t="s">
        <v>315</v>
      </c>
      <c r="D373" s="20" t="s">
        <v>767</v>
      </c>
      <c r="E373" s="20">
        <v>1</v>
      </c>
      <c r="F373" s="21"/>
      <c r="G373" s="20" t="s">
        <v>2</v>
      </c>
      <c r="H373" s="20">
        <v>1</v>
      </c>
      <c r="I373" s="20"/>
      <c r="J373" s="21"/>
      <c r="L373" s="16"/>
    </row>
    <row r="374" spans="1:12" s="2" customFormat="1" x14ac:dyDescent="0.35">
      <c r="A374" s="1"/>
      <c r="F374" s="3"/>
      <c r="J374" s="4"/>
      <c r="L374" s="4"/>
    </row>
    <row r="375" spans="1:12" s="2" customFormat="1" x14ac:dyDescent="0.35">
      <c r="A375" s="1"/>
      <c r="F375" s="3"/>
      <c r="J375" s="4"/>
      <c r="L375" s="4"/>
    </row>
    <row r="376" spans="1:12" s="2" customFormat="1" x14ac:dyDescent="0.35">
      <c r="A376" s="1"/>
      <c r="F376" s="3"/>
      <c r="J376" s="4"/>
      <c r="L376" s="4"/>
    </row>
    <row r="377" spans="1:12" s="2" customFormat="1" x14ac:dyDescent="0.35">
      <c r="A377" s="1"/>
      <c r="F377" s="3"/>
      <c r="J377" s="4"/>
      <c r="L377" s="4"/>
    </row>
    <row r="378" spans="1:12" s="2" customFormat="1" x14ac:dyDescent="0.35">
      <c r="A378" s="1"/>
      <c r="F378" s="3"/>
      <c r="J378" s="4"/>
      <c r="L378" s="4"/>
    </row>
    <row r="379" spans="1:12" s="2" customFormat="1" x14ac:dyDescent="0.35">
      <c r="A379" s="1"/>
      <c r="F379" s="3"/>
      <c r="J379" s="4"/>
      <c r="L379" s="4"/>
    </row>
    <row r="380" spans="1:12" s="2" customFormat="1" x14ac:dyDescent="0.35">
      <c r="A380" s="1"/>
      <c r="F380" s="3"/>
      <c r="J380" s="4"/>
      <c r="L380" s="4"/>
    </row>
    <row r="381" spans="1:12" s="2" customFormat="1" x14ac:dyDescent="0.35">
      <c r="A381" s="1"/>
      <c r="F381" s="3"/>
      <c r="J381" s="4"/>
      <c r="L381" s="4"/>
    </row>
    <row r="382" spans="1:12" s="2" customFormat="1" x14ac:dyDescent="0.35">
      <c r="A382" s="1"/>
      <c r="F382" s="3"/>
      <c r="J382" s="4"/>
      <c r="L382" s="4"/>
    </row>
    <row r="383" spans="1:12" s="2" customFormat="1" x14ac:dyDescent="0.35">
      <c r="A383" s="1"/>
      <c r="F383" s="3"/>
      <c r="J383" s="4"/>
      <c r="L383" s="4"/>
    </row>
    <row r="384" spans="1:12" s="2" customFormat="1" x14ac:dyDescent="0.35">
      <c r="A384" s="1"/>
      <c r="F384" s="3"/>
      <c r="J384" s="4"/>
      <c r="L384" s="4"/>
    </row>
    <row r="385" spans="1:12" s="2" customFormat="1" x14ac:dyDescent="0.35">
      <c r="A385" s="1"/>
      <c r="F385" s="3"/>
      <c r="J385" s="4"/>
      <c r="L385" s="4"/>
    </row>
    <row r="386" spans="1:12" s="2" customFormat="1" x14ac:dyDescent="0.35">
      <c r="A386" s="1"/>
      <c r="F386" s="3"/>
      <c r="J386" s="4"/>
      <c r="L386" s="4"/>
    </row>
    <row r="387" spans="1:12" s="2" customFormat="1" x14ac:dyDescent="0.35">
      <c r="A387" s="1"/>
      <c r="F387" s="3"/>
      <c r="J387" s="4"/>
      <c r="L387" s="4"/>
    </row>
    <row r="388" spans="1:12" s="2" customFormat="1" x14ac:dyDescent="0.35">
      <c r="A388" s="1"/>
      <c r="F388" s="3"/>
      <c r="J388" s="4"/>
      <c r="L388" s="4"/>
    </row>
    <row r="389" spans="1:12" s="2" customFormat="1" x14ac:dyDescent="0.35">
      <c r="A389" s="1"/>
      <c r="F389" s="3"/>
      <c r="J389" s="4"/>
      <c r="L389" s="4"/>
    </row>
    <row r="390" spans="1:12" s="2" customFormat="1" x14ac:dyDescent="0.35">
      <c r="A390" s="1"/>
      <c r="F390" s="3"/>
      <c r="J390" s="4"/>
      <c r="L390" s="4"/>
    </row>
    <row r="391" spans="1:12" s="2" customFormat="1" x14ac:dyDescent="0.35">
      <c r="A391" s="1"/>
      <c r="F391" s="3"/>
      <c r="J391" s="4"/>
      <c r="L391" s="4"/>
    </row>
    <row r="392" spans="1:12" s="2" customFormat="1" x14ac:dyDescent="0.35">
      <c r="A392" s="1"/>
      <c r="F392" s="3"/>
      <c r="J392" s="4"/>
      <c r="L392" s="4"/>
    </row>
    <row r="393" spans="1:12" s="2" customFormat="1" x14ac:dyDescent="0.35">
      <c r="A393" s="1"/>
      <c r="F393" s="3"/>
      <c r="J393" s="4"/>
      <c r="L393" s="4"/>
    </row>
    <row r="394" spans="1:12" s="2" customFormat="1" x14ac:dyDescent="0.35">
      <c r="A394" s="1"/>
      <c r="F394" s="3"/>
      <c r="J394" s="4"/>
      <c r="L394" s="4"/>
    </row>
    <row r="395" spans="1:12" s="2" customFormat="1" x14ac:dyDescent="0.35">
      <c r="A395" s="1"/>
      <c r="F395" s="3"/>
      <c r="J395" s="4"/>
      <c r="L395" s="4"/>
    </row>
    <row r="396" spans="1:12" s="2" customFormat="1" x14ac:dyDescent="0.35">
      <c r="A396" s="1"/>
      <c r="F396" s="3"/>
      <c r="J396" s="4"/>
      <c r="L396" s="4"/>
    </row>
    <row r="397" spans="1:12" s="2" customFormat="1" x14ac:dyDescent="0.35">
      <c r="A397" s="1"/>
      <c r="F397" s="3"/>
      <c r="J397" s="4"/>
      <c r="L397" s="4"/>
    </row>
    <row r="398" spans="1:12" s="2" customFormat="1" x14ac:dyDescent="0.35">
      <c r="A398" s="1"/>
      <c r="F398" s="3"/>
      <c r="J398" s="4"/>
      <c r="L398" s="4"/>
    </row>
    <row r="399" spans="1:12" s="2" customFormat="1" x14ac:dyDescent="0.35">
      <c r="A399" s="1"/>
      <c r="F399" s="3"/>
      <c r="J399" s="4"/>
      <c r="L399" s="4"/>
    </row>
    <row r="400" spans="1:12" s="2" customFormat="1" x14ac:dyDescent="0.35">
      <c r="A400" s="1"/>
      <c r="F400" s="3"/>
      <c r="J400" s="4"/>
      <c r="L400" s="4"/>
    </row>
    <row r="401" spans="1:12" s="2" customFormat="1" x14ac:dyDescent="0.35">
      <c r="A401" s="1"/>
      <c r="F401" s="3"/>
      <c r="J401" s="4"/>
      <c r="L401" s="4"/>
    </row>
  </sheetData>
  <phoneticPr fontId="8" type="noConversion"/>
  <hyperlinks>
    <hyperlink ref="D121" r:id="rId1" display="http://www.shopjimmy.com/sony-kdl-60nx810" xr:uid="{00000000-0004-0000-0100-000000000000}"/>
    <hyperlink ref="D138" r:id="rId2" display="http://www.shopjimmy.com/sharp-lc-46d64u" xr:uid="{00000000-0004-0000-0100-000002000000}"/>
    <hyperlink ref="D154" r:id="rId3" display="http://www.shopjimmy.com/sharp-lc-46x20e" xr:uid="{00000000-0004-0000-0100-000003000000}"/>
    <hyperlink ref="D128" r:id="rId4" display="http://www.shopjimmy.com/sony-ke-42m1" xr:uid="{00000000-0004-0000-0100-000001000000}"/>
  </hyperlinks>
  <pageMargins left="1.0899999999999999" right="0.7" top="0.75" bottom="0.75" header="0.3" footer="0.3"/>
  <pageSetup scale="92"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68EC0A-2272-4BAF-BC45-BD16362590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inventario 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Miguel Aristizabal Pabon</cp:lastModifiedBy>
  <cp:lastPrinted>2021-10-11T22:00:41Z</cp:lastPrinted>
  <dcterms:created xsi:type="dcterms:W3CDTF">2014-06-24T16:39:41Z</dcterms:created>
  <dcterms:modified xsi:type="dcterms:W3CDTF">2026-06-25T22:58:11Z</dcterms:modified>
</cp:coreProperties>
</file>